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01" firstSheet="0" activeTab="7" autoFilterDateGrouping="1"/>
  </bookViews>
  <sheets>
    <sheet name="INPUT" sheetId="1" state="visible" r:id="rId1"/>
    <sheet name="DEMO ESTIMATE" sheetId="2" state="visible" r:id="rId2"/>
    <sheet name="FIXTURE SCHEDULE" sheetId="3" state="visible" r:id="rId3"/>
    <sheet name="PIPE TAKEOFF" sheetId="4" state="visible" r:id="rId4"/>
    <sheet name="PIPE ESTIMATE" sheetId="5" state="visible" r:id="rId5"/>
    <sheet name="SUBCONTRACTOR COSTS" sheetId="6" state="visible" r:id="rId6"/>
    <sheet name="SLEEVE SCHEDULE" sheetId="7" state="visible" r:id="rId7"/>
    <sheet name="SUMMARY" sheetId="8" state="visible" r:id="rId8"/>
    <sheet name="LABOR TABLES" sheetId="9" state="visible" r:id="rId9"/>
    <sheet name="FIXTURE ESTIMATE" sheetId="10" state="visible" r:id="rId10"/>
    <sheet name="ACTUALS TRACKER" sheetId="11" state="visible" r:id="rId11"/>
    <sheet name="SETTINGS" sheetId="12" state="visible" r:id="rId12"/>
    <sheet name="CHANGES v3.1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9">
    <numFmt numFmtId="164" formatCode="\$#,##0.00;&quot;($&quot;#,##0.00\);\-"/>
    <numFmt numFmtId="165" formatCode="0.0%;\(0.0%\);\-"/>
    <numFmt numFmtId="166" formatCode="#,##0;\(#,##0\);\-"/>
    <numFmt numFmtId="167" formatCode="#,##0.0;\(#,##0.0\);\-"/>
    <numFmt numFmtId="168" formatCode="&quot;$&quot;#,##0.00"/>
    <numFmt numFmtId="169" formatCode="&quot;$&quot;#,##0"/>
    <numFmt numFmtId="170" formatCode="#,##0.0"/>
    <numFmt numFmtId="171" formatCode="#,##0.00;\(#,##0.00\);\-"/>
    <numFmt numFmtId="172" formatCode="0.00&quot;x&quot;"/>
  </numFmts>
  <fonts count="46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i val="1"/>
      <color rgb="FF555555"/>
      <sz val="10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i val="1"/>
      <color rgb="FF777777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1"/>
    </font>
    <font>
      <name val="Arial"/>
      <family val="2"/>
      <color rgb="FF008000"/>
      <sz val="10"/>
    </font>
    <font>
      <name val="Arial"/>
      <family val="2"/>
      <i val="1"/>
      <color rgb="FF555555"/>
      <sz val="9"/>
    </font>
    <font>
      <name val="Arial"/>
      <family val="2"/>
      <color rgb="FFFFFFFF"/>
      <sz val="9"/>
    </font>
    <font>
      <name val="Arial"/>
      <family val="2"/>
      <color rgb="FF000000"/>
      <sz val="9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000000"/>
      <sz val="11"/>
    </font>
    <font>
      <name val="Arial"/>
      <family val="2"/>
      <color rgb="FF008000"/>
      <sz val="11"/>
    </font>
    <font>
      <name val="Arial"/>
      <family val="2"/>
      <color rgb="FF777777"/>
      <sz val="10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color rgb="FF008000"/>
      <sz val="10"/>
    </font>
    <font>
      <name val="Arial"/>
      <family val="2"/>
      <b val="1"/>
      <color rgb="FF00B0F0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5050"/>
      <sz val="11"/>
    </font>
    <font>
      <name val="Arial"/>
      <family val="2"/>
      <color rgb="FF000000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color rgb="FF008000"/>
      <sz val="10"/>
    </font>
    <font>
      <name val="Arial"/>
      <family val="2"/>
      <b val="1"/>
      <color rgb="FF0000FF"/>
      <sz val="10"/>
    </font>
    <font>
      <name val="Arial"/>
      <family val="2"/>
      <i val="1"/>
      <color rgb="FF555555"/>
      <sz val="9"/>
    </font>
    <font>
      <name val="Arial"/>
      <family val="2"/>
      <b val="1"/>
      <i val="1"/>
      <color rgb="FF555555"/>
      <sz val="9"/>
    </font>
    <font>
      <name val="Arial"/>
      <family val="2"/>
      <b val="1"/>
      <color rgb="FF008000"/>
      <sz val="10"/>
    </font>
    <font>
      <name val="Calibri"/>
      <charset val="1"/>
      <family val="2"/>
      <b val="1"/>
      <color theme="1"/>
      <sz val="11"/>
    </font>
    <font>
      <name val="Arial"/>
      <family val="2"/>
      <b val="1"/>
      <color rgb="FF000000"/>
      <sz val="11"/>
    </font>
    <font>
      <name val="Arial"/>
      <family val="2"/>
      <b val="1"/>
      <i val="1"/>
      <color theme="1" tint="0.249977111117893"/>
      <sz val="10"/>
    </font>
    <font>
      <name val="Arial"/>
      <family val="2"/>
      <color theme="1" tint="0.249977111117893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i val="1"/>
      <color rgb="FF777777"/>
      <sz val="10"/>
    </font>
    <font>
      <name val="Arial"/>
      <b val="1"/>
      <color rgb="FF000000"/>
      <sz val="10"/>
    </font>
    <font>
      <name val="Arial"/>
      <i val="1"/>
      <color rgb="FF555555"/>
      <sz val="9"/>
    </font>
    <font>
      <b val="1"/>
      <color rgb="FF1F4E78"/>
      <sz val="14"/>
    </font>
    <font>
      <i val="1"/>
      <color rgb="FF555555"/>
    </font>
  </fonts>
  <fills count="20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5F5F5"/>
      </patternFill>
    </fill>
    <fill>
      <patternFill patternType="solid">
        <fgColor rgb="FF2E75B6"/>
        <bgColor rgb="FF4472C4"/>
      </patternFill>
    </fill>
    <fill>
      <patternFill patternType="solid">
        <fgColor rgb="FFEBF5FF"/>
        <bgColor rgb="FFF2F2F2"/>
      </patternFill>
    </fill>
    <fill>
      <patternFill patternType="solid">
        <fgColor rgb="FFD5E8F0"/>
        <bgColor rgb="FFD9D9D9"/>
      </patternFill>
    </fill>
    <fill>
      <patternFill patternType="solid">
        <fgColor rgb="FFF5FAFF"/>
        <bgColor rgb="FFF5F5F5"/>
      </patternFill>
    </fill>
    <fill>
      <patternFill patternType="solid">
        <fgColor rgb="FFFFFFFF"/>
        <bgColor rgb="FFF5FAFF"/>
      </patternFill>
    </fill>
    <fill>
      <patternFill patternType="solid">
        <fgColor rgb="FFFFF9C4"/>
        <bgColor rgb="FFF5F5F5"/>
      </patternFill>
    </fill>
    <fill>
      <patternFill patternType="solid">
        <fgColor rgb="FFFFFFFF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5E8F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theme="4" tint="0.5999938962981048"/>
        <bgColor rgb="FFF2F2F2"/>
      </patternFill>
    </fill>
  </fills>
  <borders count="51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/>
      <top style="medium">
        <color rgb="FF888888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/>
      <top style="medium">
        <color rgb="FF888888"/>
      </top>
      <bottom/>
      <diagonal/>
    </border>
    <border>
      <left style="thin">
        <color rgb="FFCCCCCC"/>
      </left>
      <right/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/>
      <right style="thin">
        <color rgb="FFCCCCCC"/>
      </right>
      <top style="medium">
        <color rgb="FF888888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medium">
        <color rgb="FF888888"/>
      </bottom>
      <diagonal/>
    </border>
    <border>
      <left/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/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/>
      <diagonal/>
    </border>
    <border>
      <left/>
      <right style="medium">
        <color rgb="FF888888"/>
      </right>
      <top/>
      <bottom/>
      <diagonal/>
    </border>
    <border>
      <left/>
      <right style="medium">
        <color rgb="FF888888"/>
      </right>
      <top/>
      <bottom style="medium">
        <color rgb="FF88888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6">
    <xf numFmtId="0" fontId="0" fillId="0" borderId="0" pivotButton="0" quotePrefix="0" xfId="0"/>
    <xf numFmtId="0" fontId="5" fillId="5" borderId="3" pivotButton="0" quotePrefix="0" xfId="0"/>
    <xf numFmtId="0" fontId="5" fillId="5" borderId="2" pivotButton="0" quotePrefix="0" xfId="0"/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165" fontId="5" fillId="5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right" vertical="center"/>
    </xf>
    <xf numFmtId="166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166" fontId="7" fillId="6" borderId="1" applyAlignment="1" pivotButton="0" quotePrefix="0" xfId="0">
      <alignment horizontal="right" vertical="center"/>
    </xf>
    <xf numFmtId="164" fontId="5" fillId="5" borderId="2" pivotButton="0" quotePrefix="0" xfId="0"/>
    <xf numFmtId="167" fontId="5" fillId="5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7" fontId="5" fillId="9" borderId="2" applyAlignment="1" pivotButton="0" quotePrefix="0" xfId="0">
      <alignment horizontal="right" vertical="center"/>
    </xf>
    <xf numFmtId="167" fontId="7" fillId="6" borderId="2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7" fontId="7" fillId="6" borderId="1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67" fontId="5" fillId="5" borderId="2" pivotButton="0" quotePrefix="0" xfId="0"/>
    <xf numFmtId="166" fontId="5" fillId="5" borderId="2" pivotButton="0" quotePrefix="0" xfId="0"/>
    <xf numFmtId="0" fontId="3" fillId="4" borderId="1" applyAlignment="1" pivotButton="0" quotePrefix="0" xfId="0">
      <alignment horizontal="center" vertical="center" wrapText="1"/>
    </xf>
    <xf numFmtId="0" fontId="8" fillId="4" borderId="2" pivotButton="0" quotePrefix="0" xfId="0"/>
    <xf numFmtId="167" fontId="10" fillId="0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left" vertical="center"/>
    </xf>
    <xf numFmtId="164" fontId="5" fillId="9" borderId="2" applyAlignment="1" pivotButton="0" quotePrefix="0" xfId="0">
      <alignment horizontal="right" vertical="center"/>
    </xf>
    <xf numFmtId="0" fontId="12" fillId="4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pivotButton="0" quotePrefix="0" xfId="0"/>
    <xf numFmtId="0" fontId="13" fillId="7" borderId="2" applyAlignment="1" pivotButton="0" quotePrefix="0" xfId="0">
      <alignment horizontal="left" vertical="center"/>
    </xf>
    <xf numFmtId="0" fontId="13" fillId="7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center" vertical="center"/>
    </xf>
    <xf numFmtId="167" fontId="4" fillId="7" borderId="2" applyAlignment="1" pivotButton="0" quotePrefix="0" xfId="0">
      <alignment horizontal="right" vertical="center"/>
    </xf>
    <xf numFmtId="164" fontId="4" fillId="7" borderId="2" applyAlignment="1" pivotButton="0" quotePrefix="0" xfId="0">
      <alignment horizontal="right" vertical="center"/>
    </xf>
    <xf numFmtId="0" fontId="0" fillId="2" borderId="1" pivotButton="0" quotePrefix="0" xfId="0"/>
    <xf numFmtId="167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pivotButton="0" quotePrefix="0" xfId="0"/>
    <xf numFmtId="0" fontId="0" fillId="6" borderId="2" pivotButton="0" quotePrefix="0" xfId="0"/>
    <xf numFmtId="164" fontId="10" fillId="6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0" fontId="14" fillId="2" borderId="1" pivotButton="0" quotePrefix="0" xfId="0"/>
    <xf numFmtId="164" fontId="14" fillId="2" borderId="1" applyAlignment="1" pivotButton="0" quotePrefix="0" xfId="0">
      <alignment horizontal="right" vertical="center"/>
    </xf>
    <xf numFmtId="164" fontId="10" fillId="0" borderId="2" applyAlignment="1" pivotButton="0" quotePrefix="0" xfId="0">
      <alignment horizontal="right" vertical="center"/>
    </xf>
    <xf numFmtId="164" fontId="17" fillId="0" borderId="2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5" fillId="8" borderId="2" pivotButton="0" quotePrefix="0" xfId="0"/>
    <xf numFmtId="167" fontId="5" fillId="8" borderId="2" pivotButton="0" quotePrefix="0" xfId="0"/>
    <xf numFmtId="164" fontId="5" fillId="8" borderId="2" pivotButton="0" quotePrefix="0" xfId="0"/>
    <xf numFmtId="164" fontId="4" fillId="8" borderId="2" applyAlignment="1" pivotButton="0" quotePrefix="0" xfId="0">
      <alignment horizontal="right" vertical="center"/>
    </xf>
    <xf numFmtId="165" fontId="4" fillId="8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5" fillId="5" borderId="12" pivotButton="0" quotePrefix="0" xfId="0"/>
    <xf numFmtId="0" fontId="0" fillId="0" borderId="15" pivotButton="0" quotePrefix="0" xfId="0"/>
    <xf numFmtId="167" fontId="5" fillId="5" borderId="2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8" fillId="4" borderId="2" applyAlignment="1" pivotButton="0" quotePrefix="0" xfId="0">
      <alignment horizontal="center"/>
    </xf>
    <xf numFmtId="0" fontId="5" fillId="5" borderId="2" applyAlignment="1" pivotButton="0" quotePrefix="0" xfId="0">
      <alignment horizontal="left"/>
    </xf>
    <xf numFmtId="0" fontId="8" fillId="4" borderId="2" applyAlignment="1" pivotButton="0" quotePrefix="0" xfId="0">
      <alignment horizontal="left"/>
    </xf>
    <xf numFmtId="14" fontId="5" fillId="8" borderId="2" pivotButton="0" quotePrefix="0" xfId="0"/>
    <xf numFmtId="14" fontId="5" fillId="5" borderId="2" pivotButton="0" quotePrefix="0" xfId="0"/>
    <xf numFmtId="0" fontId="18" fillId="0" borderId="0" pivotButton="0" quotePrefix="0" xfId="0"/>
    <xf numFmtId="14" fontId="5" fillId="5" borderId="2" applyAlignment="1" pivotButton="0" quotePrefix="0" xfId="0">
      <alignment horizontal="left" vertical="center"/>
    </xf>
    <xf numFmtId="0" fontId="19" fillId="10" borderId="0" applyAlignment="1" pivotButton="0" quotePrefix="0" xfId="0">
      <alignment horizontal="left" vertical="center"/>
    </xf>
    <xf numFmtId="0" fontId="21" fillId="10" borderId="0" applyAlignment="1" pivotButton="0" quotePrefix="0" xfId="0">
      <alignment horizontal="right" vertical="center" wrapText="1"/>
    </xf>
    <xf numFmtId="0" fontId="19" fillId="10" borderId="0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left" vertical="center"/>
    </xf>
    <xf numFmtId="0" fontId="26" fillId="5" borderId="2" applyAlignment="1" pivotButton="0" quotePrefix="0" xfId="0">
      <alignment horizontal="center"/>
    </xf>
    <xf numFmtId="0" fontId="27" fillId="14" borderId="19" applyAlignment="1" pivotButton="0" quotePrefix="0" xfId="0">
      <alignment horizontal="center"/>
    </xf>
    <xf numFmtId="0" fontId="0" fillId="14" borderId="19" pivotButton="0" quotePrefix="0" xfId="0"/>
    <xf numFmtId="0" fontId="0" fillId="14" borderId="20" pivotButton="0" quotePrefix="0" xfId="0"/>
    <xf numFmtId="0" fontId="27" fillId="14" borderId="22" applyAlignment="1" pivotButton="0" quotePrefix="0" xfId="0">
      <alignment horizontal="center" vertical="center"/>
    </xf>
    <xf numFmtId="0" fontId="25" fillId="10" borderId="24" applyAlignment="1" pivotButton="0" quotePrefix="0" xfId="0">
      <alignment horizontal="left"/>
    </xf>
    <xf numFmtId="0" fontId="0" fillId="14" borderId="25" pivotButton="0" quotePrefix="0" xfId="0"/>
    <xf numFmtId="168" fontId="25" fillId="10" borderId="24" applyAlignment="1" pivotButton="0" quotePrefix="0" xfId="0">
      <alignment horizontal="right"/>
    </xf>
    <xf numFmtId="3" fontId="25" fillId="10" borderId="24" applyAlignment="1" pivotButton="0" quotePrefix="0" xfId="0">
      <alignment horizontal="right"/>
    </xf>
    <xf numFmtId="0" fontId="28" fillId="10" borderId="0" applyAlignment="1" pivotButton="0" quotePrefix="0" xfId="0">
      <alignment horizontal="right"/>
    </xf>
    <xf numFmtId="0" fontId="31" fillId="0" borderId="0" applyAlignment="1" pivotButton="0" quotePrefix="0" xfId="0">
      <alignment horizontal="left"/>
    </xf>
    <xf numFmtId="0" fontId="23" fillId="14" borderId="7" applyAlignment="1" pivotButton="0" quotePrefix="0" xfId="0">
      <alignment horizontal="center"/>
    </xf>
    <xf numFmtId="0" fontId="23" fillId="14" borderId="8" applyAlignment="1" pivotButton="0" quotePrefix="0" xfId="0">
      <alignment horizontal="center"/>
    </xf>
    <xf numFmtId="0" fontId="23" fillId="14" borderId="4" applyAlignment="1" pivotButton="0" quotePrefix="0" xfId="0">
      <alignment horizontal="center"/>
    </xf>
    <xf numFmtId="0" fontId="27" fillId="15" borderId="8" applyAlignment="1" pivotButton="0" quotePrefix="0" xfId="0">
      <alignment horizontal="center"/>
    </xf>
    <xf numFmtId="0" fontId="0" fillId="10" borderId="8" pivotButton="0" quotePrefix="0" xfId="0"/>
    <xf numFmtId="0" fontId="27" fillId="15" borderId="7" applyAlignment="1" pivotButton="0" quotePrefix="0" xfId="0">
      <alignment horizontal="center"/>
    </xf>
    <xf numFmtId="0" fontId="25" fillId="10" borderId="28" applyAlignment="1" pivotButton="0" quotePrefix="0" xfId="0">
      <alignment horizontal="right"/>
    </xf>
    <xf numFmtId="169" fontId="25" fillId="10" borderId="28" applyAlignment="1" pivotButton="0" quotePrefix="0" xfId="0">
      <alignment horizontal="right"/>
    </xf>
    <xf numFmtId="0" fontId="31" fillId="10" borderId="28" applyAlignment="1" pivotButton="0" quotePrefix="0" xfId="0">
      <alignment horizontal="left"/>
    </xf>
    <xf numFmtId="0" fontId="0" fillId="10" borderId="17" pivotButton="0" quotePrefix="0" xfId="0"/>
    <xf numFmtId="0" fontId="29" fillId="10" borderId="28" applyAlignment="1" pivotButton="0" quotePrefix="0" xfId="0">
      <alignment horizontal="left"/>
    </xf>
    <xf numFmtId="0" fontId="28" fillId="13" borderId="29" applyAlignment="1" pivotButton="0" quotePrefix="0" xfId="0">
      <alignment horizontal="left"/>
    </xf>
    <xf numFmtId="0" fontId="28" fillId="13" borderId="8" applyAlignment="1" pivotButton="0" quotePrefix="0" xfId="0">
      <alignment horizontal="right"/>
    </xf>
    <xf numFmtId="0" fontId="28" fillId="13" borderId="4" applyAlignment="1" pivotButton="0" quotePrefix="0" xfId="0">
      <alignment horizontal="right"/>
    </xf>
    <xf numFmtId="0" fontId="28" fillId="13" borderId="29" applyAlignment="1" pivotButton="0" quotePrefix="0" xfId="0">
      <alignment horizontal="right"/>
    </xf>
    <xf numFmtId="0" fontId="28" fillId="13" borderId="27" applyAlignment="1" pivotButton="0" quotePrefix="0" xfId="0">
      <alignment horizontal="right"/>
    </xf>
    <xf numFmtId="169" fontId="28" fillId="13" borderId="4" applyAlignment="1" pivotButton="0" quotePrefix="0" xfId="0">
      <alignment horizontal="right"/>
    </xf>
    <xf numFmtId="0" fontId="32" fillId="13" borderId="4" applyAlignment="1" pivotButton="0" quotePrefix="0" xfId="0">
      <alignment horizontal="left"/>
    </xf>
    <xf numFmtId="0" fontId="0" fillId="13" borderId="4" pivotButton="0" quotePrefix="0" xfId="0"/>
    <xf numFmtId="0" fontId="31" fillId="16" borderId="0" applyAlignment="1" pivotButton="0" quotePrefix="0" xfId="0">
      <alignment horizontal="left"/>
    </xf>
    <xf numFmtId="0" fontId="27" fillId="15" borderId="8" applyAlignment="1" pivotButton="0" quotePrefix="0" xfId="0">
      <alignment horizontal="center" wrapText="1"/>
    </xf>
    <xf numFmtId="0" fontId="29" fillId="10" borderId="28" applyAlignment="1" pivotButton="0" quotePrefix="0" xfId="0">
      <alignment horizontal="right"/>
    </xf>
    <xf numFmtId="0" fontId="0" fillId="10" borderId="28" pivotButton="0" quotePrefix="0" xfId="0"/>
    <xf numFmtId="0" fontId="25" fillId="10" borderId="28" applyAlignment="1" pivotButton="0" quotePrefix="0" xfId="0">
      <alignment horizontal="left"/>
    </xf>
    <xf numFmtId="0" fontId="25" fillId="10" borderId="30" applyAlignment="1" pivotButton="0" quotePrefix="0" xfId="0">
      <alignment horizontal="right"/>
    </xf>
    <xf numFmtId="0" fontId="28" fillId="13" borderId="31" applyAlignment="1" pivotButton="0" quotePrefix="0" xfId="0">
      <alignment horizontal="left"/>
    </xf>
    <xf numFmtId="0" fontId="4" fillId="0" borderId="36" applyAlignment="1" pivotButton="0" quotePrefix="0" xfId="0">
      <alignment horizontal="left" vertical="center"/>
    </xf>
    <xf numFmtId="0" fontId="4" fillId="0" borderId="37" applyAlignment="1" pivotButton="0" quotePrefix="0" xfId="0">
      <alignment horizontal="left" vertical="center"/>
    </xf>
    <xf numFmtId="0" fontId="25" fillId="10" borderId="3" applyAlignment="1" pivotButton="0" quotePrefix="0" xfId="0">
      <alignment horizontal="left" vertical="center"/>
    </xf>
    <xf numFmtId="164" fontId="10" fillId="0" borderId="36" applyAlignment="1" pivotButton="0" quotePrefix="0" xfId="0">
      <alignment horizontal="right" vertical="center"/>
    </xf>
    <xf numFmtId="164" fontId="10" fillId="0" borderId="37" applyAlignment="1" pivotButton="0" quotePrefix="0" xfId="0">
      <alignment horizontal="right" vertical="center"/>
    </xf>
    <xf numFmtId="164" fontId="29" fillId="10" borderId="3" applyAlignment="1" pivotButton="0" quotePrefix="0" xfId="0">
      <alignment horizontal="right" vertical="center"/>
    </xf>
    <xf numFmtId="0" fontId="4" fillId="0" borderId="37" applyAlignment="1" pivotButton="0" quotePrefix="0" xfId="0">
      <alignment horizontal="center" vertical="center"/>
    </xf>
    <xf numFmtId="164" fontId="25" fillId="10" borderId="3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164" fontId="25" fillId="10" borderId="2" applyAlignment="1" pivotButton="0" quotePrefix="0" xfId="0">
      <alignment horizontal="right" vertical="center"/>
    </xf>
    <xf numFmtId="0" fontId="25" fillId="10" borderId="3" applyAlignment="1" pivotButton="0" quotePrefix="0" xfId="0">
      <alignment horizontal="center" vertical="center"/>
    </xf>
    <xf numFmtId="164" fontId="4" fillId="0" borderId="36" applyAlignment="1" pivotButton="0" quotePrefix="0" xfId="0">
      <alignment horizontal="right" vertical="center"/>
    </xf>
    <xf numFmtId="164" fontId="4" fillId="0" borderId="37" applyAlignment="1" pivotButton="0" quotePrefix="0" xfId="0">
      <alignment horizontal="right" vertical="center"/>
    </xf>
    <xf numFmtId="166" fontId="10" fillId="0" borderId="2" applyAlignment="1" pivotButton="0" quotePrefix="0" xfId="0">
      <alignment horizontal="center" vertical="center"/>
    </xf>
    <xf numFmtId="167" fontId="10" fillId="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167" fontId="5" fillId="5" borderId="2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166" fontId="25" fillId="1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0" fontId="34" fillId="0" borderId="0" pivotButton="0" quotePrefix="0" xfId="0"/>
    <xf numFmtId="0" fontId="34" fillId="0" borderId="0" applyAlignment="1" pivotButton="0" quotePrefix="0" xfId="0">
      <alignment horizontal="center"/>
    </xf>
    <xf numFmtId="0" fontId="28" fillId="17" borderId="23" applyAlignment="1" pivotButton="0" quotePrefix="0" xfId="0">
      <alignment horizontal="left" vertical="center"/>
    </xf>
    <xf numFmtId="170" fontId="33" fillId="17" borderId="23" applyAlignment="1" pivotButton="0" quotePrefix="0" xfId="0">
      <alignment horizontal="center"/>
    </xf>
    <xf numFmtId="0" fontId="28" fillId="17" borderId="24" applyAlignment="1" pivotButton="0" quotePrefix="0" xfId="0">
      <alignment horizontal="left"/>
    </xf>
    <xf numFmtId="170" fontId="33" fillId="17" borderId="24" applyAlignment="1" pivotButton="0" quotePrefix="0" xfId="0">
      <alignment horizontal="center"/>
    </xf>
    <xf numFmtId="0" fontId="28" fillId="17" borderId="32" applyAlignment="1" pivotButton="0" quotePrefix="0" xfId="0">
      <alignment horizontal="left"/>
    </xf>
    <xf numFmtId="170" fontId="33" fillId="17" borderId="32" applyAlignment="1" pivotButton="0" quotePrefix="0" xfId="0">
      <alignment horizontal="center"/>
    </xf>
    <xf numFmtId="0" fontId="28" fillId="17" borderId="35" applyAlignment="1" pivotButton="0" quotePrefix="0" xfId="0">
      <alignment horizontal="left"/>
    </xf>
    <xf numFmtId="170" fontId="33" fillId="17" borderId="34" applyAlignment="1" pivotButton="0" quotePrefix="0" xfId="0">
      <alignment horizontal="center"/>
    </xf>
    <xf numFmtId="0" fontId="28" fillId="17" borderId="33" applyAlignment="1" pivotButton="0" quotePrefix="0" xfId="0">
      <alignment horizontal="left"/>
    </xf>
    <xf numFmtId="170" fontId="33" fillId="17" borderId="33" applyAlignment="1" pivotButton="0" quotePrefix="0" xfId="0">
      <alignment horizontal="center"/>
    </xf>
    <xf numFmtId="0" fontId="35" fillId="13" borderId="26" applyAlignment="1" pivotButton="0" quotePrefix="0" xfId="0">
      <alignment horizontal="left"/>
    </xf>
    <xf numFmtId="170" fontId="35" fillId="13" borderId="21" applyAlignment="1" pivotButton="0" quotePrefix="0" xfId="0">
      <alignment horizontal="center"/>
    </xf>
    <xf numFmtId="0" fontId="4" fillId="10" borderId="2" applyAlignment="1" pivotButton="0" quotePrefix="0" xfId="0">
      <alignment horizontal="left" vertical="center"/>
    </xf>
    <xf numFmtId="166" fontId="5" fillId="11" borderId="2" applyAlignment="1" pivotButton="0" quotePrefix="0" xfId="0">
      <alignment horizontal="right" vertical="center"/>
    </xf>
    <xf numFmtId="166" fontId="4" fillId="10" borderId="2" applyAlignment="1" pivotButton="0" quotePrefix="0" xfId="0">
      <alignment horizontal="right" vertical="center"/>
    </xf>
    <xf numFmtId="166" fontId="4" fillId="10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left" vertical="center"/>
    </xf>
    <xf numFmtId="166" fontId="4" fillId="18" borderId="2" applyAlignment="1" pivotButton="0" quotePrefix="0" xfId="0">
      <alignment horizontal="right" vertical="center"/>
    </xf>
    <xf numFmtId="166" fontId="4" fillId="18" borderId="2" applyAlignment="1" pivotButton="0" quotePrefix="0" xfId="0">
      <alignment horizontal="center" vertical="center"/>
    </xf>
    <xf numFmtId="166" fontId="10" fillId="10" borderId="2" applyAlignment="1" pivotButton="0" quotePrefix="0" xfId="0">
      <alignment horizontal="center" vertical="center"/>
    </xf>
    <xf numFmtId="167" fontId="10" fillId="10" borderId="2" applyAlignment="1" pivotButton="0" quotePrefix="0" xfId="0">
      <alignment horizontal="center" vertical="center"/>
    </xf>
    <xf numFmtId="167" fontId="4" fillId="10" borderId="2" applyAlignment="1" pivotButton="0" quotePrefix="0" xfId="0">
      <alignment horizontal="center" vertical="center"/>
    </xf>
    <xf numFmtId="164" fontId="4" fillId="10" borderId="2" applyAlignment="1" pivotButton="0" quotePrefix="0" xfId="0">
      <alignment horizontal="right" vertical="center"/>
    </xf>
    <xf numFmtId="0" fontId="8" fillId="4" borderId="37" pivotButton="0" quotePrefix="0" xfId="0"/>
    <xf numFmtId="0" fontId="8" fillId="4" borderId="37" applyAlignment="1" pivotButton="0" quotePrefix="0" xfId="0">
      <alignment horizontal="center"/>
    </xf>
    <xf numFmtId="166" fontId="10" fillId="0" borderId="36" applyAlignment="1" pivotButton="0" quotePrefix="0" xfId="0">
      <alignment horizontal="center" vertical="center"/>
    </xf>
    <xf numFmtId="167" fontId="10" fillId="0" borderId="36" applyAlignment="1" pivotButton="0" quotePrefix="0" xfId="0">
      <alignment horizontal="center" vertical="center"/>
    </xf>
    <xf numFmtId="167" fontId="4" fillId="0" borderId="36" applyAlignment="1" pivotButton="0" quotePrefix="0" xfId="0">
      <alignment horizontal="center" vertical="center"/>
    </xf>
    <xf numFmtId="167" fontId="10" fillId="10" borderId="36" applyAlignment="1" pivotButton="0" quotePrefix="0" xfId="0">
      <alignment horizontal="center" vertical="center"/>
    </xf>
    <xf numFmtId="167" fontId="10" fillId="10" borderId="6" applyAlignment="1" pivotButton="0" quotePrefix="0" xfId="0">
      <alignment horizontal="center" vertical="center"/>
    </xf>
    <xf numFmtId="167" fontId="4" fillId="10" borderId="6" applyAlignment="1" pivotButton="0" quotePrefix="0" xfId="0">
      <alignment horizontal="center" vertical="center"/>
    </xf>
    <xf numFmtId="164" fontId="4" fillId="10" borderId="6" applyAlignment="1" pivotButton="0" quotePrefix="0" xfId="0">
      <alignment horizontal="right" vertical="center"/>
    </xf>
    <xf numFmtId="166" fontId="10" fillId="10" borderId="6" applyAlignment="1" pivotButton="0" quotePrefix="0" xfId="0">
      <alignment horizontal="center" vertical="center"/>
    </xf>
    <xf numFmtId="167" fontId="10" fillId="10" borderId="37" applyAlignment="1" pivotButton="0" quotePrefix="0" xfId="0">
      <alignment horizontal="center" vertical="center"/>
    </xf>
    <xf numFmtId="167" fontId="4" fillId="10" borderId="37" applyAlignment="1" pivotButton="0" quotePrefix="0" xfId="0">
      <alignment horizontal="center" vertical="center"/>
    </xf>
    <xf numFmtId="164" fontId="4" fillId="10" borderId="37" applyAlignment="1" pivotButton="0" quotePrefix="0" xfId="0">
      <alignment horizontal="right" vertical="center"/>
    </xf>
    <xf numFmtId="167" fontId="4" fillId="10" borderId="36" applyAlignment="1" pivotButton="0" quotePrefix="0" xfId="0">
      <alignment horizontal="center" vertical="center"/>
    </xf>
    <xf numFmtId="164" fontId="4" fillId="10" borderId="36" applyAlignment="1" pivotButton="0" quotePrefix="0" xfId="0">
      <alignment horizontal="right" vertical="center"/>
    </xf>
    <xf numFmtId="0" fontId="4" fillId="10" borderId="36" applyAlignment="1" pivotButton="0" quotePrefix="0" xfId="0">
      <alignment horizontal="left" vertical="center"/>
    </xf>
    <xf numFmtId="166" fontId="10" fillId="10" borderId="36" applyAlignment="1" pivotButton="0" quotePrefix="0" xfId="0">
      <alignment horizontal="center" vertical="center"/>
    </xf>
    <xf numFmtId="0" fontId="4" fillId="10" borderId="37" applyAlignment="1" pivotButton="0" quotePrefix="0" xfId="0">
      <alignment horizontal="left" vertical="center"/>
    </xf>
    <xf numFmtId="166" fontId="10" fillId="10" borderId="37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18" pivotButton="0" quotePrefix="0" xfId="0"/>
    <xf numFmtId="0" fontId="0" fillId="0" borderId="36" pivotButton="0" quotePrefix="0" xfId="0"/>
    <xf numFmtId="0" fontId="4" fillId="10" borderId="3" applyAlignment="1" pivotButton="0" quotePrefix="0" xfId="0">
      <alignment horizontal="left" vertical="center"/>
    </xf>
    <xf numFmtId="164" fontId="36" fillId="19" borderId="2" applyAlignment="1" pivotButton="0" quotePrefix="0" xfId="0">
      <alignment horizontal="right" vertical="center"/>
    </xf>
    <xf numFmtId="14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37" fillId="11" borderId="28" applyAlignment="1" pivotButton="0" quotePrefix="0" xfId="0">
      <alignment horizontal="right"/>
    </xf>
    <xf numFmtId="2" fontId="20" fillId="11" borderId="0" applyAlignment="1" pivotButton="0" quotePrefix="0" xfId="0">
      <alignment horizontal="right" vertical="center" wrapText="1"/>
    </xf>
    <xf numFmtId="2" fontId="5" fillId="5" borderId="2" applyAlignment="1" pivotButton="0" quotePrefix="0" xfId="0">
      <alignment horizontal="right" vertical="center"/>
    </xf>
    <xf numFmtId="171" fontId="5" fillId="5" borderId="2" applyAlignment="1" pivotButton="0" quotePrefix="0" xfId="0">
      <alignment horizontal="right" vertical="center"/>
    </xf>
    <xf numFmtId="171" fontId="5" fillId="11" borderId="2" applyAlignment="1" pivotButton="0" quotePrefix="0" xfId="0">
      <alignment horizontal="right" vertical="center"/>
    </xf>
    <xf numFmtId="171" fontId="8" fillId="4" borderId="2" pivotButton="0" quotePrefix="0" xfId="0"/>
    <xf numFmtId="0" fontId="38" fillId="15" borderId="7" applyAlignment="1" pivotButton="0" quotePrefix="0" xfId="0">
      <alignment horizontal="center"/>
    </xf>
    <xf numFmtId="0" fontId="38" fillId="15" borderId="7" applyAlignment="1" pivotButton="0" quotePrefix="0" xfId="0">
      <alignment horizontal="center" vertical="center"/>
    </xf>
    <xf numFmtId="9" fontId="40" fillId="11" borderId="28" applyAlignment="1" pivotButton="0" quotePrefix="0" xfId="0">
      <alignment horizontal="right"/>
    </xf>
    <xf numFmtId="0" fontId="41" fillId="10" borderId="28" applyAlignment="1" pivotButton="0" quotePrefix="0" xfId="0">
      <alignment horizontal="left"/>
    </xf>
    <xf numFmtId="0" fontId="0" fillId="10" borderId="0" pivotButton="0" quotePrefix="0" xfId="0"/>
    <xf numFmtId="0" fontId="38" fillId="15" borderId="39" applyAlignment="1" pivotButton="0" quotePrefix="0" xfId="0">
      <alignment horizontal="center"/>
    </xf>
    <xf numFmtId="0" fontId="39" fillId="10" borderId="28" applyAlignment="1" pivotButton="0" quotePrefix="0" xfId="0">
      <alignment horizontal="left"/>
    </xf>
    <xf numFmtId="9" fontId="40" fillId="11" borderId="31" applyAlignment="1" pivotButton="0" quotePrefix="0" xfId="0">
      <alignment horizontal="right"/>
    </xf>
    <xf numFmtId="0" fontId="41" fillId="10" borderId="31" applyAlignment="1" pivotButton="0" quotePrefix="0" xfId="0">
      <alignment horizontal="left"/>
    </xf>
    <xf numFmtId="0" fontId="0" fillId="10" borderId="40" pivotButton="0" quotePrefix="0" xfId="0"/>
    <xf numFmtId="0" fontId="39" fillId="10" borderId="31" applyAlignment="1" pivotButton="0" quotePrefix="0" xfId="0">
      <alignment horizontal="left"/>
    </xf>
    <xf numFmtId="0" fontId="0" fillId="10" borderId="41" pivotButton="0" quotePrefix="0" xfId="0"/>
    <xf numFmtId="0" fontId="42" fillId="13" borderId="42" applyAlignment="1" pivotButton="0" quotePrefix="0" xfId="0">
      <alignment horizontal="left"/>
    </xf>
    <xf numFmtId="0" fontId="41" fillId="13" borderId="42" applyAlignment="1" pivotButton="0" quotePrefix="0" xfId="0">
      <alignment horizontal="left"/>
    </xf>
    <xf numFmtId="0" fontId="0" fillId="13" borderId="43" pivotButton="0" quotePrefix="0" xfId="0"/>
    <xf numFmtId="172" fontId="39" fillId="13" borderId="42" applyAlignment="1" pivotButton="0" quotePrefix="0" xfId="0">
      <alignment horizontal="right"/>
    </xf>
    <xf numFmtId="0" fontId="39" fillId="10" borderId="3" applyAlignment="1" pivotButton="0" quotePrefix="0" xfId="0">
      <alignment horizontal="left" vertical="center"/>
    </xf>
    <xf numFmtId="0" fontId="5" fillId="5" borderId="36" applyAlignment="1" pivotButton="0" quotePrefix="0" xfId="0">
      <alignment horizontal="center"/>
    </xf>
    <xf numFmtId="0" fontId="40" fillId="12" borderId="2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44" applyAlignment="1" pivotButton="0" quotePrefix="0" xfId="0">
      <alignment horizontal="center" vertical="center"/>
    </xf>
    <xf numFmtId="0" fontId="0" fillId="5" borderId="2" pivotButton="0" quotePrefix="0" xfId="0"/>
    <xf numFmtId="0" fontId="11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5" fillId="5" borderId="3" pivotButton="0" quotePrefix="0" xfId="0"/>
    <xf numFmtId="0" fontId="5" fillId="5" borderId="2" pivotButton="0" quotePrefix="0" xfId="0"/>
    <xf numFmtId="0" fontId="9" fillId="2" borderId="1" applyAlignment="1" pivotButton="0" quotePrefix="0" xfId="0">
      <alignment horizontal="center" vertical="center"/>
    </xf>
    <xf numFmtId="0" fontId="23" fillId="14" borderId="27" applyAlignment="1" pivotButton="0" quotePrefix="0" xfId="0">
      <alignment horizontal="center" vertical="center"/>
    </xf>
    <xf numFmtId="0" fontId="23" fillId="14" borderId="4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/>
    </xf>
    <xf numFmtId="0" fontId="30" fillId="12" borderId="38" applyAlignment="1" pivotButton="0" quotePrefix="0" xfId="0">
      <alignment horizontal="left"/>
    </xf>
    <xf numFmtId="0" fontId="5" fillId="5" borderId="10" applyAlignment="1" pivotButton="0" quotePrefix="0" xfId="0">
      <alignment horizontal="left"/>
    </xf>
    <xf numFmtId="0" fontId="5" fillId="5" borderId="11" applyAlignment="1" pivotButton="0" quotePrefix="0" xfId="0">
      <alignment horizontal="left"/>
    </xf>
    <xf numFmtId="0" fontId="5" fillId="5" borderId="13" applyAlignment="1" pivotButton="0" quotePrefix="0" xfId="0">
      <alignment horizontal="left"/>
    </xf>
    <xf numFmtId="0" fontId="5" fillId="5" borderId="14" applyAlignment="1" pivotButton="0" quotePrefix="0" xfId="0">
      <alignment horizontal="left"/>
    </xf>
    <xf numFmtId="0" fontId="5" fillId="5" borderId="9" applyAlignment="1" pivotButton="0" quotePrefix="0" xfId="0">
      <alignment horizontal="left"/>
    </xf>
    <xf numFmtId="0" fontId="3" fillId="4" borderId="7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5" fillId="5" borderId="16" applyAlignment="1" pivotButton="0" quotePrefix="0" xfId="0">
      <alignment horizontal="left"/>
    </xf>
    <xf numFmtId="0" fontId="15" fillId="2" borderId="1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0" pivotButton="0" quotePrefix="0" xfId="0"/>
    <xf numFmtId="0" fontId="7" fillId="6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6" pivotButton="0" quotePrefix="0" xfId="0"/>
    <xf numFmtId="169" fontId="25" fillId="10" borderId="28" applyAlignment="1" pivotButton="0" quotePrefix="0" xfId="0">
      <alignment horizontal="right"/>
    </xf>
    <xf numFmtId="169" fontId="28" fillId="13" borderId="4" applyAlignment="1" pivotButton="0" quotePrefix="0" xfId="0">
      <alignment horizontal="right"/>
    </xf>
    <xf numFmtId="0" fontId="0" fillId="0" borderId="38" pivotButton="0" quotePrefix="0" xfId="0"/>
    <xf numFmtId="0" fontId="0" fillId="0" borderId="8" pivotButton="0" quotePrefix="0" xfId="0"/>
    <xf numFmtId="0" fontId="5" fillId="5" borderId="48" applyAlignment="1" pivotButton="0" quotePrefix="0" xfId="0">
      <alignment horizontal="left"/>
    </xf>
    <xf numFmtId="0" fontId="0" fillId="0" borderId="11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3" pivotButton="0" quotePrefix="0" xfId="0"/>
    <xf numFmtId="170" fontId="33" fillId="17" borderId="23" applyAlignment="1" pivotButton="0" quotePrefix="0" xfId="0">
      <alignment horizontal="center"/>
    </xf>
    <xf numFmtId="168" fontId="25" fillId="10" borderId="24" applyAlignment="1" pivotButton="0" quotePrefix="0" xfId="0">
      <alignment horizontal="right"/>
    </xf>
    <xf numFmtId="170" fontId="33" fillId="17" borderId="24" applyAlignment="1" pivotButton="0" quotePrefix="0" xfId="0">
      <alignment horizontal="center"/>
    </xf>
    <xf numFmtId="170" fontId="35" fillId="13" borderId="21" applyAlignment="1" pivotButton="0" quotePrefix="0" xfId="0">
      <alignment horizontal="center"/>
    </xf>
    <xf numFmtId="171" fontId="25" fillId="0" borderId="2" applyAlignment="1" pivotButton="0" quotePrefix="0" xfId="0">
      <alignment horizontal="right" vertical="center"/>
    </xf>
    <xf numFmtId="0" fontId="43" fillId="0" borderId="0" applyAlignment="1" pivotButton="0" quotePrefix="0" xfId="0">
      <alignment vertical="top" wrapText="1"/>
    </xf>
    <xf numFmtId="171" fontId="29" fillId="0" borderId="2" applyAlignment="1" pivotButton="0" quotePrefix="0" xfId="0">
      <alignment horizontal="center" vertical="center"/>
    </xf>
    <xf numFmtId="0" fontId="44" fillId="0" borderId="0" pivotButton="0" quotePrefix="0" xfId="0"/>
    <xf numFmtId="0" fontId="45" fillId="0" borderId="0" pivotButton="0" quotePrefix="0" xfId="0"/>
    <xf numFmtId="0" fontId="0" fillId="0" borderId="5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77777"/>
      <rgbColor rgb="FF800080"/>
      <rgbColor rgb="FF008080"/>
      <rgbColor rgb="FFCCCCCC"/>
      <rgbColor rgb="FF888888"/>
      <rgbColor rgb="FF9999FF"/>
      <rgbColor rgb="FF7030A0"/>
      <rgbColor rgb="FFFFF9C4"/>
      <rgbColor rgb="FFEBF5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F2F2F2"/>
      <rgbColor rgb="FFF5F5F5"/>
      <rgbColor rgb="FF99CCFF"/>
      <rgbColor rgb="FFFF99CC"/>
      <rgbColor rgb="FFCC99FF"/>
      <rgbColor rgb="FFF5FAFF"/>
      <rgbColor rgb="FF4472C4"/>
      <rgbColor rgb="FF33CCCC"/>
      <rgbColor rgb="FF70AD47"/>
      <rgbColor rgb="FFFFCC00"/>
      <rgbColor rgb="FFFF9900"/>
      <rgbColor rgb="FFED7D31"/>
      <rgbColor rgb="FF666666"/>
      <rgbColor rgb="FF999999"/>
      <rgbColor rgb="FF003366"/>
      <rgbColor rgb="FF00B050"/>
      <rgbColor rgb="FF003300"/>
      <rgbColor rgb="FF333300"/>
      <rgbColor rgb="FF833C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E36"/>
  <sheetViews>
    <sheetView showGridLines="0" zoomScaleNormal="100" workbookViewId="0">
      <selection activeCell="B33" sqref="B33"/>
    </sheetView>
  </sheetViews>
  <sheetFormatPr baseColWidth="8" defaultColWidth="8.7109375" defaultRowHeight="15"/>
  <cols>
    <col width="35" customWidth="1" style="250" min="1" max="1"/>
    <col width="25" customWidth="1" style="250" min="2" max="2"/>
    <col width="3" customWidth="1" style="250" min="3" max="3"/>
    <col width="35" customWidth="1" style="250" min="4" max="4"/>
    <col width="25" customWidth="1" style="250" min="5" max="5"/>
  </cols>
  <sheetData>
    <row r="1" ht="27.75" customHeight="1" s="250">
      <c r="A1" s="223" t="inlineStr">
        <is>
          <t>BARRETT PLUMBING INC. — COMMERCIAL ESTIMATE INPUT</t>
        </is>
      </c>
      <c r="B1" s="61" t="n"/>
      <c r="C1" s="61" t="n"/>
      <c r="D1" s="61" t="n"/>
      <c r="E1" s="62" t="n"/>
    </row>
    <row r="2" ht="15" customHeight="1" s="250">
      <c r="A2" s="224" t="inlineStr">
        <is>
          <t>Complete all blue cells. Yellow cells require attention before submitting.</t>
        </is>
      </c>
    </row>
    <row r="4" ht="15" customHeight="1" s="250">
      <c r="A4" s="225" t="inlineStr">
        <is>
          <t>PROJECT INFORMATION</t>
        </is>
      </c>
      <c r="B4" s="62" t="n"/>
      <c r="D4" s="225" t="inlineStr">
        <is>
          <t>CREW &amp; SCHEDULE</t>
        </is>
      </c>
      <c r="E4" s="62" t="n"/>
    </row>
    <row r="5" ht="15" customHeight="1" s="250">
      <c r="A5" s="249" t="inlineStr">
        <is>
          <t>Project Name</t>
        </is>
      </c>
      <c r="B5" s="14" t="inlineStr">
        <is>
          <t>Community Park</t>
        </is>
      </c>
      <c r="D5" s="249" t="inlineStr">
        <is>
          <t>Crew Size (# of plumbers)</t>
        </is>
      </c>
      <c r="E5" s="73" t="n">
        <v>2</v>
      </c>
    </row>
    <row r="6" ht="15" customHeight="1" s="250">
      <c r="A6" s="249" t="inlineStr">
        <is>
          <t>Client / GC Name</t>
        </is>
      </c>
      <c r="B6" s="14" t="n"/>
      <c r="D6" s="249" t="inlineStr">
        <is>
          <t>Estimated Job Duration (days)</t>
        </is>
      </c>
      <c r="E6" s="73" t="n"/>
    </row>
    <row r="7" ht="15" customHeight="1" s="250">
      <c r="A7" s="249" t="inlineStr">
        <is>
          <t>Project Address</t>
        </is>
      </c>
      <c r="B7" s="14" t="n"/>
      <c r="D7" s="249" t="inlineStr">
        <is>
          <t>Shift Length (hours/day)</t>
        </is>
      </c>
      <c r="E7" s="73" t="n">
        <v>8</v>
      </c>
    </row>
    <row r="8" ht="15" customHeight="1" s="250">
      <c r="A8" s="249" t="inlineStr">
        <is>
          <t>City / Municipality</t>
        </is>
      </c>
      <c r="B8" s="14" t="n"/>
      <c r="D8" s="249" t="inlineStr">
        <is>
          <t>Master Plumber on Job? (Y/N)</t>
        </is>
      </c>
      <c r="E8" s="73" t="inlineStr">
        <is>
          <t>Y</t>
        </is>
      </c>
    </row>
    <row r="9" ht="15" customHeight="1" s="250">
      <c r="A9" s="249" t="inlineStr">
        <is>
          <t>Estimator Name</t>
        </is>
      </c>
      <c r="B9" s="14" t="inlineStr">
        <is>
          <t>Vance</t>
        </is>
      </c>
      <c r="D9" s="126" t="inlineStr">
        <is>
          <t>Apprentice on Job? (Y/N)</t>
        </is>
      </c>
      <c r="E9" s="221" t="inlineStr">
        <is>
          <t>Y</t>
        </is>
      </c>
    </row>
    <row r="10" ht="15" customHeight="1" s="250">
      <c r="A10" s="249" t="inlineStr">
        <is>
          <t>Estimate Date</t>
        </is>
      </c>
      <c r="B10" s="84" t="n"/>
      <c r="D10" s="220" t="inlineStr">
        <is>
          <t>Job Complexity</t>
        </is>
      </c>
      <c r="E10" s="222" t="inlineStr">
        <is>
          <t>Normal</t>
        </is>
      </c>
    </row>
    <row r="11" ht="15" customHeight="1" s="250" thickBot="1">
      <c r="A11" s="249" t="inlineStr">
        <is>
          <t>Bid Due Date</t>
        </is>
      </c>
      <c r="B11" s="14" t="n"/>
      <c r="D11" s="226" t="inlineStr">
        <is>
          <t>PIPE MATERIAL SELECTIONS</t>
        </is>
      </c>
      <c r="E11" s="255" t="n"/>
    </row>
    <row r="12" ht="15" customHeight="1" s="250">
      <c r="A12" s="249" t="inlineStr">
        <is>
          <t>Project Number / RFQ #</t>
        </is>
      </c>
      <c r="B12" s="14" t="n"/>
      <c r="D12" s="249" t="inlineStr">
        <is>
          <t>Water Supply Pipe Material</t>
        </is>
      </c>
      <c r="E12" s="232" t="inlineStr">
        <is>
          <t>Type L Copper</t>
        </is>
      </c>
    </row>
    <row r="13" ht="15" customHeight="1" s="250">
      <c r="D13" s="249" t="inlineStr">
        <is>
          <t>DWV Pipe Material</t>
        </is>
      </c>
      <c r="E13" s="232" t="inlineStr">
        <is>
          <t>Schedule 40 PVC</t>
        </is>
      </c>
    </row>
    <row r="14" ht="15" customHeight="1" s="250">
      <c r="A14" s="225" t="inlineStr">
        <is>
          <t>BUILDING INFORMATION</t>
        </is>
      </c>
      <c r="B14" s="62" t="n"/>
      <c r="D14" s="249" t="inlineStr">
        <is>
          <t>Compressed Air Pipe Material</t>
        </is>
      </c>
      <c r="E14" s="232" t="inlineStr">
        <is>
          <t>Black Iron</t>
        </is>
      </c>
    </row>
    <row r="15" ht="15" customHeight="1" s="250">
      <c r="A15" s="249" t="inlineStr">
        <is>
          <t>Building Type</t>
        </is>
      </c>
      <c r="B15" s="73" t="inlineStr">
        <is>
          <t>Restroom Building</t>
        </is>
      </c>
    </row>
    <row r="16" ht="15" customHeight="1" s="250">
      <c r="A16" s="249" t="inlineStr">
        <is>
          <t>Number of Floors</t>
        </is>
      </c>
      <c r="B16" s="73" t="n">
        <v>1</v>
      </c>
      <c r="D16" s="225" t="inlineStr">
        <is>
          <t>NOTES / SPECIAL CONDITIONS</t>
        </is>
      </c>
      <c r="E16" s="62" t="n"/>
    </row>
    <row r="17" ht="15" customHeight="1" s="250">
      <c r="A17" s="249" t="inlineStr">
        <is>
          <t>Total Square Footage</t>
        </is>
      </c>
      <c r="B17" s="73" t="n">
        <v>754</v>
      </c>
      <c r="D17" s="227" t="n"/>
      <c r="E17" s="192" t="n"/>
    </row>
    <row r="18" ht="15" customHeight="1" s="250">
      <c r="A18" s="249" t="inlineStr">
        <is>
          <t>Wall Construction Type</t>
        </is>
      </c>
      <c r="B18" s="73" t="inlineStr">
        <is>
          <t>CMU Block</t>
        </is>
      </c>
      <c r="D18" s="227" t="n"/>
      <c r="E18" s="192" t="n"/>
    </row>
    <row r="19" ht="15" customHeight="1" s="250">
      <c r="A19" s="249" t="inlineStr">
        <is>
          <t>Slab on Grade? (Y/N)</t>
        </is>
      </c>
      <c r="B19" s="73" t="inlineStr">
        <is>
          <t>Y</t>
        </is>
      </c>
      <c r="D19" s="227" t="n"/>
      <c r="E19" s="192" t="n"/>
    </row>
    <row r="20" ht="15" customHeight="1" s="250">
      <c r="A20" s="249" t="inlineStr">
        <is>
          <t>Below-Grade Work Required? (Y/N)</t>
        </is>
      </c>
      <c r="B20" s="73" t="inlineStr">
        <is>
          <t>Y</t>
        </is>
      </c>
      <c r="D20" s="227" t="n"/>
      <c r="E20" s="192" t="n"/>
    </row>
    <row r="21" ht="15" customHeight="1" s="250">
      <c r="D21" s="227" t="n"/>
      <c r="E21" s="192" t="n"/>
    </row>
    <row r="22" ht="15" customHeight="1" s="250">
      <c r="A22" s="225" t="inlineStr">
        <is>
          <t>SCOPE FLAGS — CHECK ALL THAT APPLY (Y/N)</t>
        </is>
      </c>
      <c r="B22" s="62" t="n"/>
      <c r="D22" s="227" t="n"/>
      <c r="E22" s="192" t="n"/>
    </row>
    <row r="23" ht="15" customHeight="1" s="250">
      <c r="A23" s="249" t="inlineStr">
        <is>
          <t>Excavation Needed</t>
        </is>
      </c>
      <c r="B23" s="15" t="inlineStr">
        <is>
          <t>N</t>
        </is>
      </c>
    </row>
    <row r="24" ht="15" customHeight="1" s="250">
      <c r="A24" s="249" t="inlineStr">
        <is>
          <t>Grease Interceptor / Sand Separator</t>
        </is>
      </c>
      <c r="B24" s="15" t="inlineStr">
        <is>
          <t>N</t>
        </is>
      </c>
    </row>
    <row r="25" ht="15" customHeight="1" s="250">
      <c r="A25" s="249" t="inlineStr">
        <is>
          <t>Backflow Preventer / RPZ Required</t>
        </is>
      </c>
      <c r="B25" s="15" t="inlineStr">
        <is>
          <t>N</t>
        </is>
      </c>
    </row>
    <row r="26" ht="15" customHeight="1" s="250">
      <c r="A26" s="249" t="inlineStr">
        <is>
          <t>Pressure Reducing Valve (PRV) Station</t>
        </is>
      </c>
      <c r="B26" s="15" t="inlineStr">
        <is>
          <t>N</t>
        </is>
      </c>
    </row>
    <row r="27" ht="15" customHeight="1" s="250">
      <c r="A27" s="249" t="inlineStr">
        <is>
          <t>Compressed Air System in Scope</t>
        </is>
      </c>
      <c r="B27" s="15" t="inlineStr">
        <is>
          <t>N</t>
        </is>
      </c>
    </row>
    <row r="28" ht="15" customHeight="1" s="250">
      <c r="A28" s="249" t="inlineStr">
        <is>
          <t>Water Heater / Booster Required</t>
        </is>
      </c>
      <c r="B28" s="15" t="inlineStr">
        <is>
          <t>N</t>
        </is>
      </c>
    </row>
    <row r="29" ht="15" customHeight="1" s="250">
      <c r="A29" s="249" t="inlineStr">
        <is>
          <t>Floor Drain System Required</t>
        </is>
      </c>
      <c r="B29" s="15" t="inlineStr">
        <is>
          <t>Y</t>
        </is>
      </c>
    </row>
    <row r="30" ht="15" customHeight="1" s="250">
      <c r="A30" s="249" t="inlineStr">
        <is>
          <t>Roof Drain / Storm System in Scope</t>
        </is>
      </c>
      <c r="B30" s="15" t="inlineStr">
        <is>
          <t>N</t>
        </is>
      </c>
    </row>
    <row r="31" ht="15" customHeight="1" s="250">
      <c r="A31" s="249" t="inlineStr">
        <is>
          <t>Medical Gas in Scope</t>
        </is>
      </c>
      <c r="B31" s="15" t="inlineStr">
        <is>
          <t>N</t>
        </is>
      </c>
    </row>
    <row r="32" ht="15" customHeight="1" s="250">
      <c r="A32" s="249" t="inlineStr">
        <is>
          <t>Fire Suppression Coordination Required</t>
        </is>
      </c>
      <c r="B32" s="15" t="inlineStr">
        <is>
          <t>N</t>
        </is>
      </c>
    </row>
    <row r="33" ht="15" customHeight="1" s="250">
      <c r="A33" s="249" t="inlineStr">
        <is>
          <t>Insulation by Barrett (not sub)</t>
        </is>
      </c>
      <c r="B33" s="15" t="inlineStr">
        <is>
          <t>Y</t>
        </is>
      </c>
    </row>
    <row r="34" ht="15" customHeight="1" s="250">
      <c r="A34" s="249" t="inlineStr">
        <is>
          <t>Concrete Cutting Required</t>
        </is>
      </c>
      <c r="B34" s="15" t="inlineStr">
        <is>
          <t>N</t>
        </is>
      </c>
    </row>
    <row r="35" ht="15" customHeight="1" s="250">
      <c r="A35" s="249" t="inlineStr">
        <is>
          <t>Fire Stop / Caulking in Scope</t>
        </is>
      </c>
      <c r="B35" s="15" t="inlineStr">
        <is>
          <t>N</t>
        </is>
      </c>
    </row>
    <row r="36" ht="15" customHeight="1" s="250">
      <c r="A36" s="249" t="inlineStr">
        <is>
          <t>Masonry Sleeve Coordination Required</t>
        </is>
      </c>
      <c r="B36" s="15" t="inlineStr">
        <is>
          <t>N</t>
        </is>
      </c>
    </row>
  </sheetData>
  <mergeCells count="14">
    <mergeCell ref="A4:B4"/>
    <mergeCell ref="D20:E20"/>
    <mergeCell ref="D16:E16"/>
    <mergeCell ref="A2:E2"/>
    <mergeCell ref="D19:E19"/>
    <mergeCell ref="D11:E11"/>
    <mergeCell ref="A14:B14"/>
    <mergeCell ref="A1:E1"/>
    <mergeCell ref="D22:E22"/>
    <mergeCell ref="D4:E4"/>
    <mergeCell ref="D18:E18"/>
    <mergeCell ref="D17:E17"/>
    <mergeCell ref="A22:B22"/>
    <mergeCell ref="D21:E21"/>
  </mergeCells>
  <dataValidations count="6">
    <dataValidation sqref="B15" showDropDown="0" showInputMessage="0" showErrorMessage="0" allowBlank="1" type="list">
      <formula1>"Office / Retail,Restaurant / Food Service,Medical / Healthcare,Industrial / Warehouse,Mixed Use,Other"</formula1>
      <formula2>0</formula2>
    </dataValidation>
    <dataValidation sqref="B23:B36" showDropDown="0" showInputMessage="0" showErrorMessage="0" allowBlank="1" type="list">
      <formula1>"Y,N"</formula1>
      <formula2>0</formula2>
    </dataValidation>
    <dataValidation sqref="E12" showDropDown="0" showInputMessage="0" showErrorMessage="0" allowBlank="1" type="list">
      <formula1>"Type L Copper,Type K Copper,PEX-B"</formula1>
      <formula2>0</formula2>
    </dataValidation>
    <dataValidation sqref="B18" showDropDown="0" showInputMessage="1" showErrorMessage="1" allowBlank="1" type="list">
      <formula1>"CMU Block,Wood Frame,Tilt-Up Concrete,Steel Stud,Other"</formula1>
    </dataValidation>
    <dataValidation sqref="E10" showDropDown="0" showInputMessage="1" showErrorMessage="1" allowBlank="1" errorTitle="Invalid Selection" error="Please choose Normal, High, or Very High." type="list">
      <formula1>"Normal,High,Very High"</formula1>
    </dataValidation>
    <dataValidation sqref="B19:B20" showDropDown="0" showInputMessage="1" showErrorMessage="1" allowBlank="1" type="list">
      <formula1>"Y,N"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C00000"/>
    <outlinePr summaryBelow="1" summaryRight="1"/>
    <pageSetUpPr/>
  </sheetPr>
  <dimension ref="A1:K81"/>
  <sheetViews>
    <sheetView showGridLines="0" zoomScaleNormal="100" workbookViewId="0">
      <selection activeCell="F10" sqref="F10"/>
    </sheetView>
  </sheetViews>
  <sheetFormatPr baseColWidth="8" defaultColWidth="8.7109375" defaultRowHeight="15"/>
  <cols>
    <col width="38" bestFit="1" customWidth="1" style="250" min="1" max="1"/>
    <col width="16" customWidth="1" style="250" min="2" max="4"/>
    <col width="14" customWidth="1" style="250" min="5" max="8"/>
    <col width="3" customWidth="1" style="250" min="9" max="9"/>
    <col width="32" customWidth="1" style="250" min="10" max="10"/>
    <col width="16" customWidth="1" style="250" min="11" max="11"/>
  </cols>
  <sheetData>
    <row r="1" ht="27.75" customHeight="1" s="250">
      <c r="A1" s="223" t="inlineStr">
        <is>
          <t>BARRETT PLUMBING INC. — PLUMBING DEMOLITION ESTIMATE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2" t="n"/>
    </row>
    <row r="2" ht="18" customHeight="1" s="250">
      <c r="A2" s="230" t="inlineStr">
        <is>
          <t>Standalone tab — use independently or roll total into Summary. Customer/GC handles pipe disposal. Labor rates pull from SETTINGS.</t>
        </is>
      </c>
      <c r="B2" s="256" t="n"/>
      <c r="C2" s="256" t="n"/>
      <c r="D2" s="256" t="n"/>
      <c r="E2" s="256" t="n"/>
      <c r="F2" s="256" t="n"/>
      <c r="G2" s="256" t="n"/>
      <c r="H2" s="256" t="n"/>
      <c r="I2" s="256" t="n"/>
      <c r="J2" s="256" t="n"/>
      <c r="K2" s="192" t="n"/>
    </row>
    <row r="4" ht="15" customHeight="1" s="250">
      <c r="A4" s="225" t="inlineStr">
        <is>
          <t>PROJECT / REFERENCE</t>
        </is>
      </c>
      <c r="B4" s="62" t="n"/>
      <c r="C4" s="225" t="inlineStr">
        <is>
          <t>DATE</t>
        </is>
      </c>
      <c r="D4" s="62" t="n"/>
      <c r="J4" s="229" t="inlineStr">
        <is>
          <t>DEMO LABOR RATE REFERENCE</t>
        </is>
      </c>
      <c r="K4" s="62" t="n"/>
    </row>
    <row r="5" ht="27.75" customHeight="1" s="250">
      <c r="A5" s="232" t="n"/>
      <c r="B5" s="192" t="n"/>
      <c r="C5" s="232" t="n"/>
      <c r="D5" s="192" t="n"/>
      <c r="J5" s="228" t="inlineStr">
        <is>
          <t>Yellow cells = adjustable defaults. Conservative = use underground rate for all locations.</t>
        </is>
      </c>
      <c r="K5" s="192" t="n"/>
    </row>
    <row r="6" ht="15" customHeight="1" s="250">
      <c r="J6" s="225" t="inlineStr">
        <is>
          <t>Location</t>
        </is>
      </c>
      <c r="K6" s="225" t="inlineStr">
        <is>
          <t>Typical Hrs/LF</t>
        </is>
      </c>
    </row>
    <row r="7" ht="30" customHeight="1" s="250">
      <c r="A7" s="35" t="inlineStr">
        <is>
          <t>Pipe Material / Size</t>
        </is>
      </c>
      <c r="B7" s="35" t="inlineStr">
        <is>
          <t>Underground
Demo LF</t>
        </is>
      </c>
      <c r="C7" s="35" t="inlineStr">
        <is>
          <t>In-Wall
Demo LF</t>
        </is>
      </c>
      <c r="D7" s="35" t="inlineStr">
        <is>
          <t>Ceiling / Rafter
Demo LF</t>
        </is>
      </c>
      <c r="E7" s="35" t="inlineStr">
        <is>
          <t>TOTAL LF</t>
        </is>
      </c>
      <c r="F7" s="35" t="inlineStr">
        <is>
          <t>Demo Hrs/LF
(from table →)</t>
        </is>
      </c>
      <c r="G7" s="35" t="inlineStr">
        <is>
          <t>TOTAL
Demo Hrs</t>
        </is>
      </c>
      <c r="H7" s="35" t="inlineStr">
        <is>
          <t>Labor Cost ($)</t>
        </is>
      </c>
      <c r="J7" s="16" t="inlineStr">
        <is>
          <t>── CAST IRON NO-HUB ──</t>
        </is>
      </c>
      <c r="K7" s="40" t="n"/>
    </row>
    <row r="8" ht="18" customHeight="1" s="250">
      <c r="A8" s="41" t="inlineStr">
        <is>
          <t>── CAST IRON NO-HUB</t>
        </is>
      </c>
      <c r="B8" s="42" t="n"/>
      <c r="C8" s="42" t="n"/>
      <c r="D8" s="42" t="n"/>
      <c r="E8" s="42" t="n"/>
      <c r="F8" s="42" t="n"/>
      <c r="G8" s="42" t="n"/>
      <c r="H8" s="42" t="n"/>
      <c r="J8" s="43" t="inlineStr">
        <is>
          <t xml:space="preserve">  Underground (slab cut required)</t>
        </is>
      </c>
      <c r="K8" s="44" t="inlineStr">
        <is>
          <t>0.06 – 0.08</t>
        </is>
      </c>
    </row>
    <row r="9" ht="15" customHeight="1" s="250">
      <c r="A9" s="249" t="inlineStr">
        <is>
          <t>4" Cast Iron No-Hub</t>
        </is>
      </c>
      <c r="B9" s="25" t="n">
        <v>0</v>
      </c>
      <c r="C9" s="25" t="n">
        <v>0</v>
      </c>
      <c r="D9" s="25" t="n">
        <v>0</v>
      </c>
      <c r="E9" s="26">
        <f>B9+C9+D9</f>
        <v/>
      </c>
      <c r="F9" s="27" t="n">
        <v>0.07000000000000001</v>
      </c>
      <c r="G9" s="26">
        <f>E9*F9*SETTINGS!$B$17</f>
        <v/>
      </c>
      <c r="H9" s="31">
        <f>G9*SETTINGS!B11</f>
        <v/>
      </c>
      <c r="J9" s="45" t="inlineStr">
        <is>
          <t xml:space="preserve">  In-Wall (open wall required)</t>
        </is>
      </c>
      <c r="K9" s="46" t="inlineStr">
        <is>
          <t>0.04 – 0.06</t>
        </is>
      </c>
    </row>
    <row r="10" ht="15" customHeight="1" s="250">
      <c r="A10" s="17" t="inlineStr">
        <is>
          <t>3" Cast Iron No-Hub</t>
        </is>
      </c>
      <c r="B10" s="25" t="n">
        <v>0</v>
      </c>
      <c r="C10" s="25" t="n">
        <v>0</v>
      </c>
      <c r="D10" s="25" t="n">
        <v>0</v>
      </c>
      <c r="E10" s="47">
        <f>B10+C10+D10</f>
        <v/>
      </c>
      <c r="F10" s="27" t="n">
        <v>0.06</v>
      </c>
      <c r="G10" s="47">
        <f>E10*F10*SETTINGS!$B$17</f>
        <v/>
      </c>
      <c r="H10" s="48">
        <f>G10*SETTINGS!B11</f>
        <v/>
      </c>
      <c r="J10" s="43" t="inlineStr">
        <is>
          <t xml:space="preserve">  Ceiling / Rafter Hung</t>
        </is>
      </c>
      <c r="K10" s="44" t="inlineStr">
        <is>
          <t>0.03 – 0.05</t>
        </is>
      </c>
    </row>
    <row r="11" ht="15" customHeight="1" s="250">
      <c r="A11" s="249" t="inlineStr">
        <is>
          <t>2" Cast Iron No-Hub</t>
        </is>
      </c>
      <c r="B11" s="25" t="n">
        <v>0</v>
      </c>
      <c r="C11" s="25" t="n">
        <v>0</v>
      </c>
      <c r="D11" s="25" t="n">
        <v>0</v>
      </c>
      <c r="E11" s="26">
        <f>B11+C11+D11</f>
        <v/>
      </c>
      <c r="F11" s="27" t="n">
        <v>0.05</v>
      </c>
      <c r="G11" s="26">
        <f>E11*F11*SETTINGS!$B$17</f>
        <v/>
      </c>
      <c r="H11" s="31">
        <f>G11*SETTINGS!B11</f>
        <v/>
      </c>
      <c r="J11" s="16" t="inlineStr">
        <is>
          <t>── SCHEDULE 40 PVC ──</t>
        </is>
      </c>
      <c r="K11" s="40" t="n"/>
    </row>
    <row r="12" ht="15" customHeight="1" s="250">
      <c r="A12" s="17" t="inlineStr">
        <is>
          <t>1-1/2" Cast Iron No-Hub</t>
        </is>
      </c>
      <c r="B12" s="25" t="n">
        <v>0</v>
      </c>
      <c r="C12" s="25" t="n">
        <v>0</v>
      </c>
      <c r="D12" s="25" t="n">
        <v>0</v>
      </c>
      <c r="E12" s="47">
        <f>B12+C12+D12</f>
        <v/>
      </c>
      <c r="F12" s="27" t="n">
        <v>0.04</v>
      </c>
      <c r="G12" s="47">
        <f>E12*F12*SETTINGS!$B$17</f>
        <v/>
      </c>
      <c r="H12" s="48">
        <f>G12*SETTINGS!B11</f>
        <v/>
      </c>
      <c r="J12" s="43" t="inlineStr">
        <is>
          <t xml:space="preserve">  Underground</t>
        </is>
      </c>
      <c r="K12" s="44" t="inlineStr">
        <is>
          <t>0.04 – 0.05</t>
        </is>
      </c>
    </row>
    <row r="13" ht="15" customHeight="1" s="250">
      <c r="A13" s="251" t="inlineStr">
        <is>
          <t xml:space="preserve">  CAST IRON NO-HUB SUBTOTAL</t>
        </is>
      </c>
      <c r="E13" s="30">
        <f>SUM(E9:E12)</f>
        <v/>
      </c>
      <c r="F13" s="22" t="n"/>
      <c r="G13" s="30">
        <f>SUM(G9:G12)</f>
        <v/>
      </c>
      <c r="H13" s="29">
        <f>SUM(H9:H12)</f>
        <v/>
      </c>
      <c r="J13" s="45" t="inlineStr">
        <is>
          <t xml:space="preserve">  In-Wall</t>
        </is>
      </c>
      <c r="K13" s="46" t="inlineStr">
        <is>
          <t>0.03 – 0.04</t>
        </is>
      </c>
    </row>
    <row r="14" ht="18" customHeight="1" s="250">
      <c r="A14" s="41" t="inlineStr">
        <is>
          <t>── SCHEDULE 40 PVC</t>
        </is>
      </c>
      <c r="B14" s="42" t="n"/>
      <c r="C14" s="42" t="n"/>
      <c r="D14" s="42" t="n"/>
      <c r="E14" s="42" t="n"/>
      <c r="F14" s="42" t="n"/>
      <c r="G14" s="42" t="n"/>
      <c r="H14" s="42" t="n"/>
      <c r="J14" s="43" t="inlineStr">
        <is>
          <t xml:space="preserve">  Ceiling / Rafter Hung</t>
        </is>
      </c>
      <c r="K14" s="44" t="inlineStr">
        <is>
          <t>0.02 – 0.03</t>
        </is>
      </c>
    </row>
    <row r="15" ht="15" customHeight="1" s="250">
      <c r="A15" s="249" t="inlineStr">
        <is>
          <t>4" Schedule 40 PVC</t>
        </is>
      </c>
      <c r="B15" s="25" t="n">
        <v>0</v>
      </c>
      <c r="C15" s="25" t="n">
        <v>0</v>
      </c>
      <c r="D15" s="25" t="n">
        <v>0</v>
      </c>
      <c r="E15" s="26">
        <f>B15+C15+D15</f>
        <v/>
      </c>
      <c r="F15" s="27" t="n">
        <v>0.05</v>
      </c>
      <c r="G15" s="26">
        <f>E15*F15*SETTINGS!$B$17</f>
        <v/>
      </c>
      <c r="H15" s="31">
        <f>G15*SETTINGS!B11</f>
        <v/>
      </c>
      <c r="J15" s="16" t="inlineStr">
        <is>
          <t>── COPPER ──</t>
        </is>
      </c>
      <c r="K15" s="40" t="n"/>
    </row>
    <row r="16" ht="15" customHeight="1" s="250">
      <c r="A16" s="17" t="inlineStr">
        <is>
          <t>3" Schedule 40 PVC</t>
        </is>
      </c>
      <c r="B16" s="25" t="n">
        <v>0</v>
      </c>
      <c r="C16" s="25" t="n">
        <v>0</v>
      </c>
      <c r="D16" s="25" t="n">
        <v>0</v>
      </c>
      <c r="E16" s="47">
        <f>B16+C16+D16</f>
        <v/>
      </c>
      <c r="F16" s="27" t="n">
        <v>0.04</v>
      </c>
      <c r="G16" s="47">
        <f>E16*F16*SETTINGS!$B$17</f>
        <v/>
      </c>
      <c r="H16" s="48">
        <f>G16*SETTINGS!B11</f>
        <v/>
      </c>
      <c r="J16" s="43" t="inlineStr">
        <is>
          <t xml:space="preserve">  Underground</t>
        </is>
      </c>
      <c r="K16" s="44" t="inlineStr">
        <is>
          <t>0.06 – 0.08</t>
        </is>
      </c>
    </row>
    <row r="17" ht="15" customHeight="1" s="250">
      <c r="A17" s="249" t="inlineStr">
        <is>
          <t>2" Schedule 40 PVC</t>
        </is>
      </c>
      <c r="B17" s="25" t="n">
        <v>0</v>
      </c>
      <c r="C17" s="25" t="n">
        <v>0</v>
      </c>
      <c r="D17" s="25" t="n">
        <v>0</v>
      </c>
      <c r="E17" s="26">
        <f>B17+C17+D17</f>
        <v/>
      </c>
      <c r="F17" s="27" t="n">
        <v>0.03</v>
      </c>
      <c r="G17" s="26">
        <f>E17*F17*SETTINGS!$B$17</f>
        <v/>
      </c>
      <c r="H17" s="31">
        <f>G17*SETTINGS!B11</f>
        <v/>
      </c>
      <c r="J17" s="45" t="inlineStr">
        <is>
          <t xml:space="preserve">  In-Wall</t>
        </is>
      </c>
      <c r="K17" s="46" t="inlineStr">
        <is>
          <t>0.05 – 0.07</t>
        </is>
      </c>
    </row>
    <row r="18" ht="15" customHeight="1" s="250">
      <c r="A18" s="17" t="inlineStr">
        <is>
          <t>1-1/2" Schedule 40 PVC</t>
        </is>
      </c>
      <c r="B18" s="25" t="n">
        <v>0</v>
      </c>
      <c r="C18" s="25" t="n">
        <v>0</v>
      </c>
      <c r="D18" s="25" t="n">
        <v>0</v>
      </c>
      <c r="E18" s="47">
        <f>B18+C18+D18</f>
        <v/>
      </c>
      <c r="F18" s="27" t="n">
        <v>0.03</v>
      </c>
      <c r="G18" s="47">
        <f>E18*F18*SETTINGS!$B$17</f>
        <v/>
      </c>
      <c r="H18" s="48">
        <f>G18*SETTINGS!B11</f>
        <v/>
      </c>
      <c r="J18" s="43" t="inlineStr">
        <is>
          <t xml:space="preserve">  Ceiling / Rafter Hung</t>
        </is>
      </c>
      <c r="K18" s="44" t="inlineStr">
        <is>
          <t>0.03 – 0.05</t>
        </is>
      </c>
    </row>
    <row r="19" ht="15" customHeight="1" s="250">
      <c r="A19" s="249" t="inlineStr">
        <is>
          <t>1-1/4" Schedule 40 PVC</t>
        </is>
      </c>
      <c r="B19" s="25" t="n">
        <v>0</v>
      </c>
      <c r="C19" s="25" t="n">
        <v>0</v>
      </c>
      <c r="D19" s="25" t="n">
        <v>0</v>
      </c>
      <c r="E19" s="26">
        <f>B19+C19+D19</f>
        <v/>
      </c>
      <c r="F19" s="27" t="n">
        <v>0.03</v>
      </c>
      <c r="G19" s="26">
        <f>E19*F19*SETTINGS!$B$17</f>
        <v/>
      </c>
      <c r="H19" s="31">
        <f>G19*SETTINGS!B11</f>
        <v/>
      </c>
      <c r="J19" s="16" t="inlineStr">
        <is>
          <t>── BLACK IRON (Threaded) ──</t>
        </is>
      </c>
      <c r="K19" s="40" t="n"/>
    </row>
    <row r="20" ht="15" customHeight="1" s="250">
      <c r="A20" s="251" t="inlineStr">
        <is>
          <t xml:space="preserve">  SCHEDULE 40 PVC SUBTOTAL</t>
        </is>
      </c>
      <c r="E20" s="30">
        <f>SUM(E15:E19)</f>
        <v/>
      </c>
      <c r="F20" s="22" t="n"/>
      <c r="G20" s="30">
        <f>SUM(G15:G19)</f>
        <v/>
      </c>
      <c r="H20" s="29">
        <f>SUM(H15:H19)</f>
        <v/>
      </c>
      <c r="J20" s="43" t="inlineStr">
        <is>
          <t xml:space="preserve">  Underground</t>
        </is>
      </c>
      <c r="K20" s="44" t="inlineStr">
        <is>
          <t>0.10 – 0.12</t>
        </is>
      </c>
    </row>
    <row r="21" ht="18" customHeight="1" s="250">
      <c r="A21" s="41" t="inlineStr">
        <is>
          <t>── COPPER (Type L or K)</t>
        </is>
      </c>
      <c r="B21" s="42" t="n"/>
      <c r="C21" s="42" t="n"/>
      <c r="D21" s="42" t="n"/>
      <c r="E21" s="42" t="n"/>
      <c r="F21" s="42" t="n"/>
      <c r="G21" s="42" t="n"/>
      <c r="H21" s="42" t="n"/>
      <c r="J21" s="45" t="inlineStr">
        <is>
          <t xml:space="preserve">  In-Wall</t>
        </is>
      </c>
      <c r="K21" s="46" t="inlineStr">
        <is>
          <t>0.08 – 0.10</t>
        </is>
      </c>
    </row>
    <row r="22" ht="15" customHeight="1" s="250">
      <c r="A22" s="17" t="inlineStr">
        <is>
          <t>2" Copper</t>
        </is>
      </c>
      <c r="B22" s="25" t="n">
        <v>0</v>
      </c>
      <c r="C22" s="25" t="n">
        <v>0</v>
      </c>
      <c r="D22" s="25" t="n">
        <v>0</v>
      </c>
      <c r="E22" s="47">
        <f>B22+C22+D22</f>
        <v/>
      </c>
      <c r="F22" s="27" t="n">
        <v>0.08</v>
      </c>
      <c r="G22" s="47">
        <f>E22*F22*SETTINGS!$B$17</f>
        <v/>
      </c>
      <c r="H22" s="48">
        <f>G22*SETTINGS!B11</f>
        <v/>
      </c>
      <c r="J22" s="43" t="inlineStr">
        <is>
          <t xml:space="preserve">  Ceiling / Rafter Hung</t>
        </is>
      </c>
      <c r="K22" s="44" t="inlineStr">
        <is>
          <t>0.06 – 0.08</t>
        </is>
      </c>
    </row>
    <row r="23" ht="15" customHeight="1" s="250">
      <c r="A23" s="249" t="inlineStr">
        <is>
          <t>1-1/2" Copper</t>
        </is>
      </c>
      <c r="B23" s="25" t="n">
        <v>0</v>
      </c>
      <c r="C23" s="25" t="n">
        <v>0</v>
      </c>
      <c r="D23" s="25" t="n">
        <v>0</v>
      </c>
      <c r="E23" s="26">
        <f>B23+C23+D23</f>
        <v/>
      </c>
      <c r="F23" s="27" t="n">
        <v>0.07000000000000001</v>
      </c>
      <c r="G23" s="26">
        <f>E23*F23*SETTINGS!$B$17</f>
        <v/>
      </c>
      <c r="H23" s="31">
        <f>G23*SETTINGS!B11</f>
        <v/>
      </c>
      <c r="J23" s="45" t="n"/>
      <c r="K23" s="46" t="n"/>
    </row>
    <row r="24" ht="15" customHeight="1" s="250">
      <c r="A24" s="17" t="inlineStr">
        <is>
          <t>1-1/4" Copper</t>
        </is>
      </c>
      <c r="B24" s="25" t="n">
        <v>0</v>
      </c>
      <c r="C24" s="25" t="n">
        <v>0</v>
      </c>
      <c r="D24" s="25" t="n">
        <v>0</v>
      </c>
      <c r="E24" s="47">
        <f>B24+C24+D24</f>
        <v/>
      </c>
      <c r="F24" s="27" t="n">
        <v>0.06</v>
      </c>
      <c r="G24" s="47">
        <f>E24*F24*SETTINGS!$B$17</f>
        <v/>
      </c>
      <c r="H24" s="48">
        <f>G24*SETTINGS!B11</f>
        <v/>
      </c>
      <c r="J24" s="43" t="inlineStr">
        <is>
          <t>NOTE: Underground rates include</t>
        </is>
      </c>
      <c r="K24" s="44" t="n"/>
    </row>
    <row r="25" ht="15" customHeight="1" s="250">
      <c r="A25" s="249" t="inlineStr">
        <is>
          <t>1" Copper</t>
        </is>
      </c>
      <c r="B25" s="25" t="n">
        <v>0</v>
      </c>
      <c r="C25" s="25" t="n">
        <v>0</v>
      </c>
      <c r="D25" s="25" t="n">
        <v>0</v>
      </c>
      <c r="E25" s="26">
        <f>B25+C25+D25</f>
        <v/>
      </c>
      <c r="F25" s="27" t="n">
        <v>0.05</v>
      </c>
      <c r="G25" s="26">
        <f>E25*F25*SETTINGS!$B$17</f>
        <v/>
      </c>
      <c r="H25" s="31">
        <f>G25*SETTINGS!B11</f>
        <v/>
      </c>
      <c r="J25" s="45" t="inlineStr">
        <is>
          <t>slab saw-cut + excavation time.</t>
        </is>
      </c>
      <c r="K25" s="46" t="n"/>
    </row>
    <row r="26" ht="15" customHeight="1" s="250">
      <c r="A26" s="17" t="inlineStr">
        <is>
          <t>3/4" Copper</t>
        </is>
      </c>
      <c r="B26" s="25" t="n">
        <v>0</v>
      </c>
      <c r="C26" s="25" t="n">
        <v>0</v>
      </c>
      <c r="D26" s="25" t="n">
        <v>0</v>
      </c>
      <c r="E26" s="47">
        <f>B26+C26+D26</f>
        <v/>
      </c>
      <c r="F26" s="27" t="n">
        <v>0.05</v>
      </c>
      <c r="G26" s="47">
        <f>E26*F26*SETTINGS!$B$17</f>
        <v/>
      </c>
      <c r="H26" s="48">
        <f>G26*SETTINGS!B11</f>
        <v/>
      </c>
      <c r="J26" s="43" t="inlineStr">
        <is>
          <t>Add 15-20% if slab &gt; 4" thick.</t>
        </is>
      </c>
      <c r="K26" s="44" t="n"/>
    </row>
    <row r="27" ht="15" customHeight="1" s="250">
      <c r="A27" s="249" t="inlineStr">
        <is>
          <t>1/2" Copper</t>
        </is>
      </c>
      <c r="B27" s="25" t="n">
        <v>0</v>
      </c>
      <c r="C27" s="25" t="n">
        <v>0</v>
      </c>
      <c r="D27" s="25" t="n">
        <v>0</v>
      </c>
      <c r="E27" s="26">
        <f>B27+C27+D27</f>
        <v/>
      </c>
      <c r="F27" s="27" t="n">
        <v>0.04</v>
      </c>
      <c r="G27" s="26">
        <f>E27*F27*SETTINGS!$B$17</f>
        <v/>
      </c>
      <c r="H27" s="31">
        <f>G27*SETTINGS!B11</f>
        <v/>
      </c>
      <c r="J27" s="45" t="n"/>
      <c r="K27" s="46" t="n"/>
    </row>
    <row r="28" ht="15" customHeight="1" s="250">
      <c r="A28" s="251" t="inlineStr">
        <is>
          <t xml:space="preserve">  COPPER (Type L or K) SUBTOTAL</t>
        </is>
      </c>
      <c r="E28" s="30">
        <f>SUM(E22:E27)</f>
        <v/>
      </c>
      <c r="F28" s="22" t="n"/>
      <c r="G28" s="30">
        <f>SUM(G22:G27)</f>
        <v/>
      </c>
      <c r="H28" s="29">
        <f>SUM(H22:H27)</f>
        <v/>
      </c>
      <c r="J28" s="16" t="inlineStr">
        <is>
          <t>── FIXTURE DEMO NOTES ──</t>
        </is>
      </c>
      <c r="K28" s="40" t="n"/>
    </row>
    <row r="29" ht="18" customHeight="1" s="250">
      <c r="A29" s="41" t="inlineStr">
        <is>
          <t>── BLACK IRON — THREADED</t>
        </is>
      </c>
      <c r="B29" s="42" t="n"/>
      <c r="C29" s="42" t="n"/>
      <c r="D29" s="42" t="n"/>
      <c r="E29" s="42" t="n"/>
      <c r="F29" s="42" t="n"/>
      <c r="G29" s="42" t="n"/>
      <c r="H29" s="42" t="n"/>
      <c r="J29" s="45" t="inlineStr">
        <is>
          <t xml:space="preserve">  Flush-valve WC / Urinal: faster</t>
        </is>
      </c>
      <c r="K29" s="46" t="n"/>
    </row>
    <row r="30" ht="15" customHeight="1" s="250">
      <c r="A30" s="17" t="inlineStr">
        <is>
          <t>2" Black Iron</t>
        </is>
      </c>
      <c r="B30" s="25" t="n">
        <v>0</v>
      </c>
      <c r="C30" s="25" t="n">
        <v>0</v>
      </c>
      <c r="D30" s="25" t="n">
        <v>0</v>
      </c>
      <c r="E30" s="47">
        <f>B30+C30+D30</f>
        <v/>
      </c>
      <c r="F30" s="27" t="n">
        <v>0.12</v>
      </c>
      <c r="G30" s="47">
        <f>E30*F30*SETTINGS!$B$17</f>
        <v/>
      </c>
      <c r="H30" s="48">
        <f>G30*SETTINGS!B11</f>
        <v/>
      </c>
      <c r="J30" s="43" t="inlineStr">
        <is>
          <t xml:space="preserve">  than tank type — less hardware.</t>
        </is>
      </c>
      <c r="K30" s="44" t="n"/>
    </row>
    <row r="31" ht="15" customHeight="1" s="250">
      <c r="A31" s="249" t="inlineStr">
        <is>
          <t>1-1/2" Black Iron</t>
        </is>
      </c>
      <c r="B31" s="25" t="n">
        <v>0</v>
      </c>
      <c r="C31" s="25" t="n">
        <v>0</v>
      </c>
      <c r="D31" s="25" t="n">
        <v>0</v>
      </c>
      <c r="E31" s="26">
        <f>B31+C31+D31</f>
        <v/>
      </c>
      <c r="F31" s="27" t="n">
        <v>0.1</v>
      </c>
      <c r="G31" s="26">
        <f>E31*F31*SETTINGS!$B$17</f>
        <v/>
      </c>
      <c r="H31" s="31">
        <f>G31*SETTINGS!B11</f>
        <v/>
      </c>
      <c r="J31" s="45" t="inlineStr">
        <is>
          <t xml:space="preserve">  Cap/Stub flag adds capping hrs</t>
        </is>
      </c>
      <c r="K31" s="46" t="n"/>
    </row>
    <row r="32" ht="15" customHeight="1" s="250">
      <c r="A32" s="17" t="inlineStr">
        <is>
          <t>1" Black Iron</t>
        </is>
      </c>
      <c r="B32" s="25" t="n">
        <v>0</v>
      </c>
      <c r="C32" s="25" t="n">
        <v>0</v>
      </c>
      <c r="D32" s="25" t="n">
        <v>0</v>
      </c>
      <c r="E32" s="47">
        <f>B32+C32+D32</f>
        <v/>
      </c>
      <c r="F32" s="27" t="n">
        <v>0.09</v>
      </c>
      <c r="G32" s="47">
        <f>E32*F32*SETTINGS!$B$17</f>
        <v/>
      </c>
      <c r="H32" s="48">
        <f>G32*SETTINGS!B11</f>
        <v/>
      </c>
      <c r="J32" s="43" t="inlineStr">
        <is>
          <t xml:space="preserve">  per rough-in opening left open.</t>
        </is>
      </c>
      <c r="K32" s="44" t="n"/>
    </row>
    <row r="33" ht="15" customHeight="1" s="250">
      <c r="A33" s="249" t="inlineStr">
        <is>
          <t>3/4" Black Iron</t>
        </is>
      </c>
      <c r="B33" s="25" t="n">
        <v>0</v>
      </c>
      <c r="C33" s="25" t="n">
        <v>0</v>
      </c>
      <c r="D33" s="25" t="n">
        <v>0</v>
      </c>
      <c r="E33" s="26">
        <f>B33+C33+D33</f>
        <v/>
      </c>
      <c r="F33" s="27" t="n">
        <v>0.08</v>
      </c>
      <c r="G33" s="26">
        <f>E33*F33*SETTINGS!$B$17</f>
        <v/>
      </c>
      <c r="H33" s="31">
        <f>G33*SETTINGS!B11</f>
        <v/>
      </c>
      <c r="J33" s="45" t="inlineStr">
        <is>
          <t xml:space="preserve">  Exterior grease trap demo</t>
        </is>
      </c>
      <c r="K33" s="46" t="n"/>
    </row>
    <row r="34" ht="15" customHeight="1" s="250">
      <c r="A34" s="17" t="inlineStr">
        <is>
          <t>1/2" Black Iron</t>
        </is>
      </c>
      <c r="B34" s="25" t="n">
        <v>0</v>
      </c>
      <c r="C34" s="25" t="n">
        <v>0</v>
      </c>
      <c r="D34" s="25" t="n">
        <v>0</v>
      </c>
      <c r="E34" s="47">
        <f>B34+C34+D34</f>
        <v/>
      </c>
      <c r="F34" s="27" t="n">
        <v>0.07000000000000001</v>
      </c>
      <c r="G34" s="47">
        <f>E34*F34*SETTINGS!$B$17</f>
        <v/>
      </c>
      <c r="H34" s="48">
        <f>G34*SETTINGS!B11</f>
        <v/>
      </c>
      <c r="J34" s="43" t="inlineStr">
        <is>
          <t xml:space="preserve">  assumes excavation by others.</t>
        </is>
      </c>
      <c r="K34" s="44" t="n"/>
    </row>
    <row r="35" ht="15" customHeight="1" s="250">
      <c r="A35" s="251" t="inlineStr">
        <is>
          <t xml:space="preserve">  BLACK IRON — THREADED SUBTOTAL</t>
        </is>
      </c>
      <c r="E35" s="30">
        <f>SUM(E30:E34)</f>
        <v/>
      </c>
      <c r="F35" s="22" t="n"/>
      <c r="G35" s="30">
        <f>SUM(G30:G34)</f>
        <v/>
      </c>
      <c r="H35" s="29">
        <f>SUM(H30:H34)</f>
        <v/>
      </c>
    </row>
    <row r="37" ht="15" customHeight="1" s="250">
      <c r="A37" s="41" t="inlineStr">
        <is>
          <t>PIPE DEMO TOTAL — ALL SYSTEMS</t>
        </is>
      </c>
      <c r="B37" s="49" t="n"/>
      <c r="C37" s="49" t="n"/>
      <c r="D37" s="49" t="n"/>
      <c r="E37" s="50">
        <f>E13+E20+E28+E35</f>
        <v/>
      </c>
      <c r="F37" s="49" t="n"/>
      <c r="G37" s="50">
        <f>G13+G20+G28+G35</f>
        <v/>
      </c>
      <c r="H37" s="51">
        <f>H13+H20+H28+H35</f>
        <v/>
      </c>
    </row>
    <row r="39" ht="18" customHeight="1" s="250">
      <c r="A39" s="41" t="inlineStr">
        <is>
          <t>FIXTURE DEMOLITION</t>
        </is>
      </c>
      <c r="B39" s="42" t="n"/>
      <c r="C39" s="42" t="n"/>
      <c r="D39" s="42" t="n"/>
      <c r="E39" s="42" t="n"/>
      <c r="F39" s="42" t="n"/>
      <c r="G39" s="42" t="n"/>
      <c r="H39" s="42" t="n"/>
    </row>
    <row r="40" ht="38.25" customHeight="1" s="250">
      <c r="A40" s="35" t="inlineStr">
        <is>
          <t>Fixture Type</t>
        </is>
      </c>
      <c r="B40" s="35" t="inlineStr">
        <is>
          <t>Qty to Remove</t>
        </is>
      </c>
      <c r="C40" s="35" t="inlineStr">
        <is>
          <t>Demo Hrs Each
(from table →)</t>
        </is>
      </c>
      <c r="D40" s="35" t="inlineStr">
        <is>
          <t>TOTAL Demo Hrs</t>
        </is>
      </c>
      <c r="E40" s="35" t="inlineStr">
        <is>
          <t>Labor Cost ($)</t>
        </is>
      </c>
      <c r="F40" s="35" t="inlineStr">
        <is>
          <t>Cap / Stub Req'd?</t>
        </is>
      </c>
      <c r="G40" s="35" t="inlineStr">
        <is>
          <t>Cap/Stub Hrs Add.</t>
        </is>
      </c>
      <c r="H40" s="35" t="inlineStr">
        <is>
          <t>TOTAL FIXTURE COST ($)</t>
        </is>
      </c>
    </row>
    <row r="41" ht="18" customHeight="1" s="250">
      <c r="A41" s="52" t="inlineStr">
        <is>
          <t>── RESTROOM FIXTURES ──</t>
        </is>
      </c>
      <c r="B41" s="53" t="n"/>
      <c r="C41" s="53" t="n"/>
      <c r="D41" s="53" t="n"/>
      <c r="E41" s="53" t="n"/>
      <c r="F41" s="53" t="n"/>
      <c r="G41" s="53" t="n"/>
      <c r="H41" s="53" t="n"/>
    </row>
    <row r="42" ht="15" customHeight="1" s="250">
      <c r="A42" s="17" t="inlineStr">
        <is>
          <t>Water Closet (floor-mounted)</t>
        </is>
      </c>
      <c r="B42" s="13" t="n">
        <v>0</v>
      </c>
      <c r="C42" s="27" t="n">
        <v>1.25</v>
      </c>
      <c r="D42" s="47">
        <f>B42*(C42+IF(F42="Y",G42,0))*SETTINGS!$B$17</f>
        <v/>
      </c>
      <c r="E42" s="48">
        <f>D42*SETTINGS!B11</f>
        <v/>
      </c>
      <c r="F42" s="15" t="inlineStr">
        <is>
          <t>N</t>
        </is>
      </c>
      <c r="G42" s="27" t="n">
        <v>0.5</v>
      </c>
      <c r="H42" s="48">
        <f>E42</f>
        <v/>
      </c>
    </row>
    <row r="43" ht="15" customHeight="1" s="250">
      <c r="A43" s="249" t="inlineStr">
        <is>
          <t>Water Closet (wall-hung)</t>
        </is>
      </c>
      <c r="B43" s="13" t="n">
        <v>0</v>
      </c>
      <c r="C43" s="27" t="n">
        <v>1.75</v>
      </c>
      <c r="D43" s="26">
        <f>B43*(C43+IF(F43="Y",G43,0))*SETTINGS!$B$17</f>
        <v/>
      </c>
      <c r="E43" s="31">
        <f>D43*SETTINGS!B11</f>
        <v/>
      </c>
      <c r="F43" s="15" t="inlineStr">
        <is>
          <t>N</t>
        </is>
      </c>
      <c r="G43" s="27" t="n">
        <v>0.75</v>
      </c>
      <c r="H43" s="31">
        <f>E43</f>
        <v/>
      </c>
    </row>
    <row r="44" ht="15" customHeight="1" s="250">
      <c r="A44" s="17" t="inlineStr">
        <is>
          <t>Urinal</t>
        </is>
      </c>
      <c r="B44" s="13" t="n">
        <v>0</v>
      </c>
      <c r="C44" s="27" t="n">
        <v>1.25</v>
      </c>
      <c r="D44" s="47">
        <f>B44*(C44+IF(F44="Y",G44,0))*SETTINGS!$B$17</f>
        <v/>
      </c>
      <c r="E44" s="48">
        <f>D44*SETTINGS!B11</f>
        <v/>
      </c>
      <c r="F44" s="15" t="inlineStr">
        <is>
          <t>N</t>
        </is>
      </c>
      <c r="G44" s="27" t="n">
        <v>0.5</v>
      </c>
      <c r="H44" s="48">
        <f>E44</f>
        <v/>
      </c>
    </row>
    <row r="45" ht="15" customHeight="1" s="250">
      <c r="A45" s="249" t="inlineStr">
        <is>
          <t>Lavatory (wall-hung)</t>
        </is>
      </c>
      <c r="B45" s="13" t="n">
        <v>0</v>
      </c>
      <c r="C45" s="27" t="n">
        <v>0.75</v>
      </c>
      <c r="D45" s="26">
        <f>B45*(C45+IF(F45="Y",G45,0))*SETTINGS!$B$17</f>
        <v/>
      </c>
      <c r="E45" s="31">
        <f>D45*SETTINGS!B11</f>
        <v/>
      </c>
      <c r="F45" s="15" t="inlineStr">
        <is>
          <t>N</t>
        </is>
      </c>
      <c r="G45" s="27" t="n">
        <v>0.25</v>
      </c>
      <c r="H45" s="31">
        <f>E45</f>
        <v/>
      </c>
    </row>
    <row r="46" ht="15" customHeight="1" s="250">
      <c r="A46" s="17" t="inlineStr">
        <is>
          <t>Lavatory (vanity / counter)</t>
        </is>
      </c>
      <c r="B46" s="13" t="n">
        <v>0</v>
      </c>
      <c r="C46" s="27" t="n">
        <v>1</v>
      </c>
      <c r="D46" s="47">
        <f>B46*(C46+IF(F46="Y",G46,0))*SETTINGS!$B$17</f>
        <v/>
      </c>
      <c r="E46" s="48">
        <f>D46*SETTINGS!B11</f>
        <v/>
      </c>
      <c r="F46" s="15" t="inlineStr">
        <is>
          <t>N</t>
        </is>
      </c>
      <c r="G46" s="27" t="n">
        <v>0.25</v>
      </c>
      <c r="H46" s="48">
        <f>E46</f>
        <v/>
      </c>
    </row>
    <row r="47" ht="18" customHeight="1" s="250">
      <c r="A47" s="52" t="inlineStr">
        <is>
          <t>── KITCHEN / FOOD SERVICE ──</t>
        </is>
      </c>
      <c r="B47" s="53" t="n"/>
      <c r="C47" s="53" t="n"/>
      <c r="D47" s="53" t="n"/>
      <c r="E47" s="53" t="n"/>
      <c r="F47" s="53" t="n"/>
      <c r="G47" s="53" t="n"/>
      <c r="H47" s="53" t="n"/>
    </row>
    <row r="48" ht="15" customHeight="1" s="250">
      <c r="A48" s="17" t="inlineStr">
        <is>
          <t>3-Compartment Sink</t>
        </is>
      </c>
      <c r="B48" s="13" t="n">
        <v>0</v>
      </c>
      <c r="C48" s="27" t="n">
        <v>1.75</v>
      </c>
      <c r="D48" s="47">
        <f>B48*(C48+IF(F48="Y",G48,0))*SETTINGS!$B$17</f>
        <v/>
      </c>
      <c r="E48" s="48">
        <f>D48*SETTINGS!B11</f>
        <v/>
      </c>
      <c r="F48" s="15" t="inlineStr">
        <is>
          <t>N</t>
        </is>
      </c>
      <c r="G48" s="27" t="n">
        <v>0.5</v>
      </c>
      <c r="H48" s="48">
        <f>E48</f>
        <v/>
      </c>
    </row>
    <row r="49" ht="15" customHeight="1" s="250">
      <c r="A49" s="249" t="inlineStr">
        <is>
          <t>Prep Sink / Hand Sink</t>
        </is>
      </c>
      <c r="B49" s="13" t="n">
        <v>0</v>
      </c>
      <c r="C49" s="27" t="n">
        <v>0.75</v>
      </c>
      <c r="D49" s="26">
        <f>B49*(C49+IF(F49="Y",G49,0))*SETTINGS!$B$17</f>
        <v/>
      </c>
      <c r="E49" s="31">
        <f>D49*SETTINGS!B11</f>
        <v/>
      </c>
      <c r="F49" s="15" t="inlineStr">
        <is>
          <t>N</t>
        </is>
      </c>
      <c r="G49" s="27" t="n">
        <v>0.25</v>
      </c>
      <c r="H49" s="31">
        <f>E49</f>
        <v/>
      </c>
    </row>
    <row r="50" ht="15" customHeight="1" s="250">
      <c r="A50" s="17" t="inlineStr">
        <is>
          <t>Mop Sink / Service Sink</t>
        </is>
      </c>
      <c r="B50" s="13" t="n">
        <v>0</v>
      </c>
      <c r="C50" s="27" t="n">
        <v>1.25</v>
      </c>
      <c r="D50" s="47">
        <f>B50*(C50+IF(F50="Y",G50,0))*SETTINGS!$B$17</f>
        <v/>
      </c>
      <c r="E50" s="48">
        <f>D50*SETTINGS!B11</f>
        <v/>
      </c>
      <c r="F50" s="15" t="inlineStr">
        <is>
          <t>N</t>
        </is>
      </c>
      <c r="G50" s="27" t="n">
        <v>0.5</v>
      </c>
      <c r="H50" s="48">
        <f>E50</f>
        <v/>
      </c>
    </row>
    <row r="51" ht="15" customHeight="1" s="250">
      <c r="A51" s="249" t="inlineStr">
        <is>
          <t>Commercial Dishwasher Connection</t>
        </is>
      </c>
      <c r="B51" s="13" t="n">
        <v>0</v>
      </c>
      <c r="C51" s="27" t="n">
        <v>0.75</v>
      </c>
      <c r="D51" s="26">
        <f>B51*(C51+IF(F51="Y",G51,0))*SETTINGS!$B$17</f>
        <v/>
      </c>
      <c r="E51" s="31">
        <f>D51*SETTINGS!B11</f>
        <v/>
      </c>
      <c r="F51" s="15" t="inlineStr">
        <is>
          <t>N</t>
        </is>
      </c>
      <c r="G51" s="27" t="n">
        <v>0.25</v>
      </c>
      <c r="H51" s="31">
        <f>E51</f>
        <v/>
      </c>
    </row>
    <row r="52" ht="15" customHeight="1" s="250">
      <c r="A52" s="17" t="inlineStr">
        <is>
          <t>Grease Trap (under-counter)</t>
        </is>
      </c>
      <c r="B52" s="13" t="n">
        <v>0</v>
      </c>
      <c r="C52" s="27" t="n">
        <v>2</v>
      </c>
      <c r="D52" s="47">
        <f>B52*(C52+IF(F52="Y",G52,0))*SETTINGS!$B$17</f>
        <v/>
      </c>
      <c r="E52" s="48">
        <f>D52*SETTINGS!B11</f>
        <v/>
      </c>
      <c r="F52" s="15" t="inlineStr">
        <is>
          <t>N</t>
        </is>
      </c>
      <c r="G52" s="27" t="n">
        <v>0.75</v>
      </c>
      <c r="H52" s="48">
        <f>E52</f>
        <v/>
      </c>
    </row>
    <row r="53" ht="18" customHeight="1" s="250">
      <c r="A53" s="52" t="inlineStr">
        <is>
          <t>── UTILITY ──</t>
        </is>
      </c>
      <c r="B53" s="53" t="n"/>
      <c r="C53" s="53" t="n"/>
      <c r="D53" s="53" t="n"/>
      <c r="E53" s="53" t="n"/>
      <c r="F53" s="53" t="n"/>
      <c r="G53" s="53" t="n"/>
      <c r="H53" s="53" t="n"/>
    </row>
    <row r="54" ht="15" customHeight="1" s="250">
      <c r="A54" s="17" t="inlineStr">
        <is>
          <t>Floor Drain</t>
        </is>
      </c>
      <c r="B54" s="13" t="n">
        <v>0</v>
      </c>
      <c r="C54" s="27" t="n">
        <v>0.75</v>
      </c>
      <c r="D54" s="47">
        <f>B54*(C54+IF(F54="Y",G54,0))*SETTINGS!$B$17</f>
        <v/>
      </c>
      <c r="E54" s="48">
        <f>D54*SETTINGS!B11</f>
        <v/>
      </c>
      <c r="F54" s="15" t="inlineStr">
        <is>
          <t>N</t>
        </is>
      </c>
      <c r="G54" s="27" t="n">
        <v>0.5</v>
      </c>
      <c r="H54" s="48">
        <f>E54</f>
        <v/>
      </c>
    </row>
    <row r="55" ht="15" customHeight="1" s="250">
      <c r="A55" s="249" t="inlineStr">
        <is>
          <t>Floor Sink</t>
        </is>
      </c>
      <c r="B55" s="13" t="n">
        <v>0</v>
      </c>
      <c r="C55" s="27" t="n">
        <v>1</v>
      </c>
      <c r="D55" s="26">
        <f>B55*(C55+IF(F55="Y",G55,0))*SETTINGS!$B$17</f>
        <v/>
      </c>
      <c r="E55" s="31">
        <f>D55*SETTINGS!B11</f>
        <v/>
      </c>
      <c r="F55" s="15" t="inlineStr">
        <is>
          <t>N</t>
        </is>
      </c>
      <c r="G55" s="27" t="n">
        <v>0.5</v>
      </c>
      <c r="H55" s="31">
        <f>E55</f>
        <v/>
      </c>
    </row>
    <row r="56" ht="15" customHeight="1" s="250">
      <c r="A56" s="17" t="inlineStr">
        <is>
          <t>Drinking Fountain</t>
        </is>
      </c>
      <c r="B56" s="13" t="n">
        <v>0</v>
      </c>
      <c r="C56" s="27" t="n">
        <v>0.75</v>
      </c>
      <c r="D56" s="47">
        <f>B56*(C56+IF(F56="Y",G56,0))*SETTINGS!$B$17</f>
        <v/>
      </c>
      <c r="E56" s="48">
        <f>D56*SETTINGS!B11</f>
        <v/>
      </c>
      <c r="F56" s="15" t="inlineStr">
        <is>
          <t>N</t>
        </is>
      </c>
      <c r="G56" s="27" t="n">
        <v>0.25</v>
      </c>
      <c r="H56" s="48">
        <f>E56</f>
        <v/>
      </c>
    </row>
    <row r="57" ht="15" customHeight="1" s="250">
      <c r="A57" s="249" t="inlineStr">
        <is>
          <t>Emergency Eyewash / Shower</t>
        </is>
      </c>
      <c r="B57" s="13" t="n">
        <v>0</v>
      </c>
      <c r="C57" s="27" t="n">
        <v>1.5</v>
      </c>
      <c r="D57" s="26">
        <f>B57*(C57+IF(F57="Y",G57,0))*SETTINGS!$B$17</f>
        <v/>
      </c>
      <c r="E57" s="31">
        <f>D57*SETTINGS!B11</f>
        <v/>
      </c>
      <c r="F57" s="15" t="inlineStr">
        <is>
          <t>N</t>
        </is>
      </c>
      <c r="G57" s="27" t="n">
        <v>0.5</v>
      </c>
      <c r="H57" s="31">
        <f>E57</f>
        <v/>
      </c>
    </row>
    <row r="58" ht="15" customHeight="1" s="250">
      <c r="A58" s="17" t="inlineStr">
        <is>
          <t>Hose Bib / Wall Hydrant</t>
        </is>
      </c>
      <c r="B58" s="13" t="n">
        <v>0</v>
      </c>
      <c r="C58" s="27" t="n">
        <v>0.5</v>
      </c>
      <c r="D58" s="47">
        <f>B58*(C58+IF(F58="Y",G58,0))*SETTINGS!$B$17</f>
        <v/>
      </c>
      <c r="E58" s="48">
        <f>D58*SETTINGS!B11</f>
        <v/>
      </c>
      <c r="F58" s="15" t="inlineStr">
        <is>
          <t>N</t>
        </is>
      </c>
      <c r="G58" s="27" t="n">
        <v>0.25</v>
      </c>
      <c r="H58" s="48">
        <f>E58</f>
        <v/>
      </c>
    </row>
    <row r="59" ht="18" customHeight="1" s="250">
      <c r="A59" s="52" t="inlineStr">
        <is>
          <t>── MECHANICAL / SPECIALTY ──</t>
        </is>
      </c>
      <c r="B59" s="53" t="n"/>
      <c r="C59" s="53" t="n"/>
      <c r="D59" s="53" t="n"/>
      <c r="E59" s="53" t="n"/>
      <c r="F59" s="53" t="n"/>
      <c r="G59" s="53" t="n"/>
      <c r="H59" s="53" t="n"/>
    </row>
    <row r="60" ht="15" customHeight="1" s="250">
      <c r="A60" s="17" t="inlineStr">
        <is>
          <t>Water Heater (tank, commercial)</t>
        </is>
      </c>
      <c r="B60" s="13" t="n">
        <v>0</v>
      </c>
      <c r="C60" s="27" t="n">
        <v>2.5</v>
      </c>
      <c r="D60" s="47">
        <f>B60*(C60+IF(F60="Y",G60,0))*SETTINGS!$B$17</f>
        <v/>
      </c>
      <c r="E60" s="48">
        <f>D60*SETTINGS!B11</f>
        <v/>
      </c>
      <c r="F60" s="15" t="inlineStr">
        <is>
          <t>N</t>
        </is>
      </c>
      <c r="G60" s="27" t="n">
        <v>0.5</v>
      </c>
      <c r="H60" s="48">
        <f>E60</f>
        <v/>
      </c>
    </row>
    <row r="61" ht="15" customHeight="1" s="250">
      <c r="A61" s="249" t="inlineStr">
        <is>
          <t>Tankless Water Heater</t>
        </is>
      </c>
      <c r="B61" s="13" t="n">
        <v>0</v>
      </c>
      <c r="C61" s="27" t="n">
        <v>1.5</v>
      </c>
      <c r="D61" s="26">
        <f>B61*(C61+IF(F61="Y",G61,0))*SETTINGS!$B$17</f>
        <v/>
      </c>
      <c r="E61" s="31">
        <f>D61*SETTINGS!B11</f>
        <v/>
      </c>
      <c r="F61" s="15" t="inlineStr">
        <is>
          <t>N</t>
        </is>
      </c>
      <c r="G61" s="27" t="n">
        <v>0.5</v>
      </c>
      <c r="H61" s="31">
        <f>E61</f>
        <v/>
      </c>
    </row>
    <row r="62" ht="15" customHeight="1" s="250">
      <c r="A62" s="17" t="inlineStr">
        <is>
          <t>Grease Interceptor (exterior)</t>
        </is>
      </c>
      <c r="B62" s="13" t="n">
        <v>0</v>
      </c>
      <c r="C62" s="27" t="n">
        <v>4</v>
      </c>
      <c r="D62" s="47">
        <f>B62*(C62+IF(F62="Y",G62,0))*SETTINGS!$B$17</f>
        <v/>
      </c>
      <c r="E62" s="48">
        <f>D62*SETTINGS!B11</f>
        <v/>
      </c>
      <c r="F62" s="15" t="inlineStr">
        <is>
          <t>N</t>
        </is>
      </c>
      <c r="G62" s="27" t="n">
        <v>1</v>
      </c>
      <c r="H62" s="48">
        <f>E62</f>
        <v/>
      </c>
    </row>
    <row r="63" ht="15" customHeight="1" s="250">
      <c r="A63" s="249" t="inlineStr">
        <is>
          <t>RPZ Backflow Preventer</t>
        </is>
      </c>
      <c r="B63" s="13" t="n">
        <v>0</v>
      </c>
      <c r="C63" s="27" t="n">
        <v>1.5</v>
      </c>
      <c r="D63" s="26">
        <f>B63*(C63+IF(F63="Y",G63,0))*SETTINGS!$B$17</f>
        <v/>
      </c>
      <c r="E63" s="31">
        <f>D63*SETTINGS!B11</f>
        <v/>
      </c>
      <c r="F63" s="15" t="inlineStr">
        <is>
          <t>N</t>
        </is>
      </c>
      <c r="G63" s="27" t="n">
        <v>0.75</v>
      </c>
      <c r="H63" s="31">
        <f>E63</f>
        <v/>
      </c>
    </row>
    <row r="64" ht="15" customHeight="1" s="250">
      <c r="A64" s="17" t="inlineStr">
        <is>
          <t>PRV Station</t>
        </is>
      </c>
      <c r="B64" s="13" t="n">
        <v>0</v>
      </c>
      <c r="C64" s="27" t="n">
        <v>1.5</v>
      </c>
      <c r="D64" s="47">
        <f>B64*(C64+IF(F64="Y",G64,0))*SETTINGS!$B$17</f>
        <v/>
      </c>
      <c r="E64" s="48">
        <f>D64*SETTINGS!B11</f>
        <v/>
      </c>
      <c r="F64" s="15" t="inlineStr">
        <is>
          <t>N</t>
        </is>
      </c>
      <c r="G64" s="27" t="n">
        <v>0.75</v>
      </c>
      <c r="H64" s="48">
        <f>E64</f>
        <v/>
      </c>
    </row>
    <row r="65" ht="15" customHeight="1" s="250">
      <c r="A65" s="249" t="inlineStr">
        <is>
          <t>Expansion Tank</t>
        </is>
      </c>
      <c r="B65" s="13" t="n">
        <v>0</v>
      </c>
      <c r="C65" s="27" t="n">
        <v>0.75</v>
      </c>
      <c r="D65" s="26">
        <f>B65*(C65+IF(F65="Y",G65,0))*SETTINGS!$B$17</f>
        <v/>
      </c>
      <c r="E65" s="31">
        <f>D65*SETTINGS!B11</f>
        <v/>
      </c>
      <c r="F65" s="15" t="inlineStr">
        <is>
          <t>N</t>
        </is>
      </c>
      <c r="G65" s="27" t="n">
        <v>0.25</v>
      </c>
      <c r="H65" s="31">
        <f>E65</f>
        <v/>
      </c>
    </row>
    <row r="66" ht="15" customHeight="1" s="250">
      <c r="A66" s="17" t="inlineStr">
        <is>
          <t>Hanger / Trapeze Assembly (ea.)</t>
        </is>
      </c>
      <c r="B66" s="13" t="n">
        <v>0</v>
      </c>
      <c r="C66" s="27" t="n">
        <v>0.25</v>
      </c>
      <c r="D66" s="47">
        <f>B66*(C66+IF(F66="Y",G66,0))*SETTINGS!$B$17</f>
        <v/>
      </c>
      <c r="E66" s="48">
        <f>D66*SETTINGS!B11</f>
        <v/>
      </c>
      <c r="F66" s="15" t="inlineStr">
        <is>
          <t>N</t>
        </is>
      </c>
      <c r="G66" s="27" t="n">
        <v>0</v>
      </c>
      <c r="H66" s="48">
        <f>E66</f>
        <v/>
      </c>
    </row>
    <row r="68" ht="15" customHeight="1" s="250">
      <c r="A68" s="41" t="inlineStr">
        <is>
          <t>FIXTURE DEMO TOTAL</t>
        </is>
      </c>
      <c r="B68" s="49" t="n"/>
      <c r="C68" s="49" t="n"/>
      <c r="D68" s="50">
        <f>SUMIF(D41:D66,"&gt;0")</f>
        <v/>
      </c>
      <c r="E68" s="49" t="n"/>
      <c r="F68" s="49" t="n"/>
      <c r="G68" s="49" t="n"/>
      <c r="H68" s="51">
        <f>SUMIF(H41:H66,"&gt;0")</f>
        <v/>
      </c>
    </row>
    <row r="70" ht="15" customHeight="1" s="250">
      <c r="A70" s="229" t="inlineStr">
        <is>
          <t>DEMOLITION ESTIMATE SUMMARY</t>
        </is>
      </c>
      <c r="B70" s="61" t="n"/>
      <c r="C70" s="61" t="n"/>
      <c r="D70" s="61" t="n"/>
      <c r="E70" s="61" t="n"/>
      <c r="F70" s="61" t="n"/>
      <c r="G70" s="61" t="n"/>
      <c r="H70" s="62" t="n"/>
    </row>
    <row r="71" ht="15" customHeight="1" s="250">
      <c r="A71" s="22" t="inlineStr">
        <is>
          <t>Pipe Demo — Labor Cost</t>
        </is>
      </c>
      <c r="B71" s="54" t="n"/>
      <c r="C71" s="54" t="n"/>
      <c r="D71" s="54" t="n"/>
      <c r="E71" s="54" t="n"/>
      <c r="F71" s="54" t="n"/>
      <c r="G71" s="54" t="n"/>
      <c r="H71" s="55">
        <f>H37</f>
        <v/>
      </c>
    </row>
    <row r="72" ht="15" customHeight="1" s="250">
      <c r="A72" s="22" t="inlineStr">
        <is>
          <t>Fixture Demo — Labor Cost</t>
        </is>
      </c>
      <c r="B72" s="54" t="n"/>
      <c r="C72" s="54" t="n"/>
      <c r="D72" s="54" t="n"/>
      <c r="E72" s="54" t="n"/>
      <c r="F72" s="54" t="n"/>
      <c r="G72" s="54" t="n"/>
      <c r="H72" s="55">
        <f>H68</f>
        <v/>
      </c>
    </row>
    <row r="73" ht="15" customHeight="1" s="250">
      <c r="A73" s="22" t="inlineStr">
        <is>
          <t>Overhead &amp; Burden on Demo Labor</t>
        </is>
      </c>
      <c r="B73" s="54" t="n"/>
      <c r="C73" s="54" t="n"/>
      <c r="D73" s="54" t="n"/>
      <c r="E73" s="54" t="n"/>
      <c r="F73" s="54" t="n"/>
      <c r="G73" s="54" t="n"/>
      <c r="H73" s="12">
        <f>SUM(H71:H72)*SETTINGS!B22</f>
        <v/>
      </c>
    </row>
    <row r="74" ht="15" customHeight="1" s="250">
      <c r="A74" s="22" t="inlineStr">
        <is>
          <t>Profit Margin on Demo Labor</t>
        </is>
      </c>
      <c r="B74" s="54" t="n"/>
      <c r="C74" s="54" t="n"/>
      <c r="D74" s="54" t="n"/>
      <c r="E74" s="54" t="n"/>
      <c r="F74" s="54" t="n"/>
      <c r="G74" s="54" t="n"/>
      <c r="H74" s="12">
        <f>SUM(H71:H72)*SETTINGS!B23</f>
        <v/>
      </c>
    </row>
    <row r="75" ht="15" customHeight="1" s="250">
      <c r="A75" s="56" t="inlineStr">
        <is>
          <t>TOTAL DEMOLITION ESTIMATE</t>
        </is>
      </c>
      <c r="B75" s="57" t="n"/>
      <c r="C75" s="57" t="n"/>
      <c r="D75" s="57" t="n"/>
      <c r="E75" s="57" t="n"/>
      <c r="F75" s="57" t="n"/>
      <c r="G75" s="57" t="n"/>
      <c r="H75" s="58">
        <f>SUM(H71:H73,H74)</f>
        <v/>
      </c>
    </row>
    <row r="77" ht="15" customHeight="1" s="250">
      <c r="A77" s="225" t="inlineStr">
        <is>
          <t>DEMO SCOPE NOTES / EXCLUSIONS</t>
        </is>
      </c>
      <c r="B77" s="61" t="n"/>
      <c r="C77" s="61" t="n"/>
      <c r="D77" s="61" t="n"/>
      <c r="E77" s="61" t="n"/>
      <c r="F77" s="61" t="n"/>
      <c r="G77" s="61" t="n"/>
      <c r="H77" s="62" t="n"/>
    </row>
    <row r="78" ht="15" customHeight="1" s="250">
      <c r="A78" s="231" t="n"/>
      <c r="B78" s="256" t="n"/>
      <c r="C78" s="256" t="n"/>
      <c r="D78" s="256" t="n"/>
      <c r="E78" s="256" t="n"/>
      <c r="F78" s="256" t="n"/>
      <c r="G78" s="256" t="n"/>
      <c r="H78" s="256" t="n"/>
    </row>
    <row r="79" ht="15" customHeight="1" s="250">
      <c r="A79" s="231" t="n"/>
      <c r="B79" s="256" t="n"/>
      <c r="C79" s="256" t="n"/>
      <c r="D79" s="256" t="n"/>
      <c r="E79" s="256" t="n"/>
      <c r="F79" s="256" t="n"/>
      <c r="G79" s="256" t="n"/>
      <c r="H79" s="256" t="n"/>
    </row>
    <row r="80" ht="15" customHeight="1" s="250">
      <c r="A80" s="231" t="n"/>
      <c r="B80" s="256" t="n"/>
      <c r="C80" s="256" t="n"/>
      <c r="D80" s="256" t="n"/>
      <c r="E80" s="256" t="n"/>
      <c r="F80" s="256" t="n"/>
      <c r="G80" s="256" t="n"/>
      <c r="H80" s="256" t="n"/>
    </row>
    <row r="81" ht="15" customHeight="1" s="250">
      <c r="A81" s="231" t="n"/>
      <c r="B81" s="256" t="n"/>
      <c r="C81" s="256" t="n"/>
      <c r="D81" s="256" t="n"/>
      <c r="E81" s="256" t="n"/>
      <c r="F81" s="256" t="n"/>
      <c r="G81" s="256" t="n"/>
      <c r="H81" s="256" t="n"/>
    </row>
  </sheetData>
  <mergeCells count="14">
    <mergeCell ref="A70:H70"/>
    <mergeCell ref="A4:B4"/>
    <mergeCell ref="J4:K4"/>
    <mergeCell ref="A78:H78"/>
    <mergeCell ref="A77:H77"/>
    <mergeCell ref="J5:K5"/>
    <mergeCell ref="A81:H81"/>
    <mergeCell ref="C5:D5"/>
    <mergeCell ref="A5:B5"/>
    <mergeCell ref="A2:K2"/>
    <mergeCell ref="A80:H80"/>
    <mergeCell ref="A79:H79"/>
    <mergeCell ref="A1:K1"/>
    <mergeCell ref="C4:D4"/>
  </mergeCells>
  <dataValidations count="1">
    <dataValidation sqref="F42:F46 F48:F52 F54:F58 F60:F66" showDropDown="0" showInputMessage="0" showErrorMessage="0" allowBlank="1" type="list">
      <formula1>"Y,N"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43"/>
  <sheetViews>
    <sheetView showGridLines="0" zoomScaleNormal="100" workbookViewId="0">
      <selection activeCell="B27" sqref="B27"/>
    </sheetView>
  </sheetViews>
  <sheetFormatPr baseColWidth="8" defaultColWidth="8.7109375" defaultRowHeight="15"/>
  <cols>
    <col width="31.140625" customWidth="1" style="250" min="1" max="1"/>
    <col width="14" customWidth="1" style="250" min="2" max="2"/>
    <col width="16.140625" customWidth="1" style="250" min="3" max="3"/>
    <col width="14" customWidth="1" style="250" min="4" max="4"/>
    <col width="22.85546875" customWidth="1" style="250" min="5" max="5"/>
    <col width="17.140625" customWidth="1" style="250" min="6" max="6"/>
    <col width="14" customWidth="1" style="250" min="7" max="7"/>
    <col width="16" customWidth="1" style="250" min="8" max="9"/>
  </cols>
  <sheetData>
    <row r="1" ht="27.75" customHeight="1" s="250">
      <c r="A1" s="223" t="inlineStr">
        <is>
          <t>BARRETT PLUMBING INC. — FIXTURE &amp; SYSTEM SCHEDULE</t>
        </is>
      </c>
      <c r="B1" s="61" t="n"/>
      <c r="C1" s="61" t="n"/>
      <c r="D1" s="61" t="n"/>
      <c r="E1" s="61" t="n"/>
      <c r="F1" s="61" t="n"/>
      <c r="G1" s="61" t="n"/>
      <c r="H1" s="61" t="n"/>
      <c r="I1" s="62" t="n"/>
    </row>
    <row r="2" ht="15" customHeight="1" s="250">
      <c r="A2" s="224" t="inlineStr">
        <is>
          <t>Enter fixture counts by floor. Fixture units (FU) auto-calculated per Michigan Plumbing Code Table 709.1</t>
        </is>
      </c>
    </row>
    <row r="4" ht="15" customHeight="1" s="250">
      <c r="A4" s="225" t="inlineStr">
        <is>
          <t>Fixture Type</t>
        </is>
      </c>
      <c r="B4" s="225" t="inlineStr">
        <is>
          <t>Floor 1</t>
        </is>
      </c>
      <c r="C4" s="225" t="inlineStr">
        <is>
          <t>Floor 2</t>
        </is>
      </c>
      <c r="D4" s="225" t="inlineStr">
        <is>
          <t>Floor 3</t>
        </is>
      </c>
      <c r="E4" s="225" t="inlineStr">
        <is>
          <t>Floor 4</t>
        </is>
      </c>
      <c r="F4" s="225" t="inlineStr">
        <is>
          <t>Floor 5</t>
        </is>
      </c>
      <c r="G4" s="225" t="inlineStr">
        <is>
          <t>TOTAL QTY</t>
        </is>
      </c>
      <c r="H4" s="225" t="inlineStr">
        <is>
          <t>FU Each</t>
        </is>
      </c>
      <c r="I4" s="225" t="inlineStr">
        <is>
          <t>TOTAL FU</t>
        </is>
      </c>
    </row>
    <row r="5" ht="15" customHeight="1" s="250">
      <c r="A5" s="16" t="inlineStr">
        <is>
          <t>── RESTROOM FIXTURES ──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</row>
    <row r="6" ht="15" customHeight="1" s="250">
      <c r="A6" s="17" t="inlineStr">
        <is>
          <t>Water Closet (Flush Valve)</t>
        </is>
      </c>
      <c r="B6" s="13" t="n">
        <v>6</v>
      </c>
      <c r="C6" s="13" t="n">
        <v>0</v>
      </c>
      <c r="D6" s="13" t="n">
        <v>0</v>
      </c>
      <c r="E6" s="13" t="n">
        <v>0</v>
      </c>
      <c r="F6" s="13" t="n">
        <v>0</v>
      </c>
      <c r="G6" s="18">
        <f>SUM(B6:F6)</f>
        <v/>
      </c>
      <c r="H6" s="19" t="n">
        <v>4</v>
      </c>
      <c r="I6" s="18">
        <f>G6*H6</f>
        <v/>
      </c>
    </row>
    <row r="7" ht="15" customHeight="1" s="250">
      <c r="A7" s="249" t="inlineStr">
        <is>
          <t>Water Closet (Tank Type)</t>
        </is>
      </c>
      <c r="B7" s="13" t="n">
        <v>0</v>
      </c>
      <c r="C7" s="13" t="n"/>
      <c r="D7" s="13" t="n"/>
      <c r="E7" s="13" t="n">
        <v>0</v>
      </c>
      <c r="F7" s="13" t="n">
        <v>0</v>
      </c>
      <c r="G7" s="20">
        <f>SUM(B7:F7)</f>
        <v/>
      </c>
      <c r="H7" s="21" t="n">
        <v>3</v>
      </c>
      <c r="I7" s="20">
        <f>G7*H7</f>
        <v/>
      </c>
    </row>
    <row r="8" ht="15" customHeight="1" s="250">
      <c r="A8" s="17" t="inlineStr">
        <is>
          <t>Urinal (Flush Valve)</t>
        </is>
      </c>
      <c r="B8" s="13" t="n">
        <v>0</v>
      </c>
      <c r="C8" s="13" t="n"/>
      <c r="D8" s="13" t="n"/>
      <c r="E8" s="13" t="n">
        <v>0</v>
      </c>
      <c r="F8" s="13" t="n">
        <v>0</v>
      </c>
      <c r="G8" s="18">
        <f>SUM(B8:F8)</f>
        <v/>
      </c>
      <c r="H8" s="19" t="n">
        <v>4</v>
      </c>
      <c r="I8" s="18">
        <f>G8*H8</f>
        <v/>
      </c>
    </row>
    <row r="9" ht="15" customHeight="1" s="250">
      <c r="A9" s="249" t="inlineStr">
        <is>
          <t>Lavatory (Single)</t>
        </is>
      </c>
      <c r="B9" s="13" t="n">
        <v>6</v>
      </c>
      <c r="C9" s="13" t="n"/>
      <c r="D9" s="13" t="n"/>
      <c r="E9" s="13" t="n">
        <v>0</v>
      </c>
      <c r="F9" s="13" t="n">
        <v>0</v>
      </c>
      <c r="G9" s="20">
        <f>SUM(B9:F9)</f>
        <v/>
      </c>
      <c r="H9" s="21" t="n">
        <v>1</v>
      </c>
      <c r="I9" s="20">
        <f>G9*H9</f>
        <v/>
      </c>
    </row>
    <row r="10" ht="15" customHeight="1" s="250">
      <c r="A10" s="17" t="inlineStr">
        <is>
          <t>Lavatory (Multiple / Group)</t>
        </is>
      </c>
      <c r="B10" s="13" t="n">
        <v>0</v>
      </c>
      <c r="C10" s="13" t="n"/>
      <c r="D10" s="13" t="n"/>
      <c r="E10" s="13" t="n">
        <v>0</v>
      </c>
      <c r="F10" s="13" t="n">
        <v>0</v>
      </c>
      <c r="G10" s="18">
        <f>SUM(B10:F10)</f>
        <v/>
      </c>
      <c r="H10" s="19" t="n">
        <v>2</v>
      </c>
      <c r="I10" s="18">
        <f>G10*H10</f>
        <v/>
      </c>
    </row>
    <row r="11" ht="15" customHeight="1" s="250">
      <c r="A11" s="16" t="inlineStr">
        <is>
          <t>── KITCHEN / FOOD SERVICE ──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 ht="15" customHeight="1" s="250">
      <c r="A12" s="17" t="inlineStr">
        <is>
          <t>3-Compartment Sink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0</v>
      </c>
      <c r="G12" s="18">
        <f>SUM(B12:F12)</f>
        <v/>
      </c>
      <c r="H12" s="19" t="n">
        <v>3</v>
      </c>
      <c r="I12" s="18">
        <f>G12*H12</f>
        <v/>
      </c>
    </row>
    <row r="13" ht="15" customHeight="1" s="250">
      <c r="A13" s="249" t="inlineStr">
        <is>
          <t>Prep Sink / Hand Sink</t>
        </is>
      </c>
      <c r="B13" s="13" t="n">
        <v>0</v>
      </c>
      <c r="C13" s="13" t="n">
        <v>0</v>
      </c>
      <c r="D13" s="13" t="n">
        <v>0</v>
      </c>
      <c r="E13" s="13" t="n">
        <v>0</v>
      </c>
      <c r="F13" s="13" t="n">
        <v>0</v>
      </c>
      <c r="G13" s="20">
        <f>SUM(B13:F13)</f>
        <v/>
      </c>
      <c r="H13" s="21" t="n">
        <v>1</v>
      </c>
      <c r="I13" s="20">
        <f>G13*H13</f>
        <v/>
      </c>
    </row>
    <row r="14" ht="15" customHeight="1" s="250">
      <c r="A14" s="17" t="inlineStr">
        <is>
          <t>Kitchen Sink (Double Basin)</t>
        </is>
      </c>
      <c r="B14" s="13" t="n">
        <v>0</v>
      </c>
      <c r="C14" s="13" t="n"/>
      <c r="D14" s="13" t="n"/>
      <c r="E14" s="13" t="n">
        <v>0</v>
      </c>
      <c r="F14" s="13" t="n">
        <v>0</v>
      </c>
      <c r="G14" s="18">
        <f>SUM(B14:F14)</f>
        <v/>
      </c>
      <c r="H14" s="19" t="n">
        <v>2</v>
      </c>
      <c r="I14" s="18">
        <f>G14*H14</f>
        <v/>
      </c>
    </row>
    <row r="15" ht="15" customHeight="1" s="250">
      <c r="A15" s="249" t="inlineStr">
        <is>
          <t>Kitchen Sink (Single Basin)</t>
        </is>
      </c>
      <c r="B15" s="13" t="n">
        <v>0</v>
      </c>
      <c r="C15" s="13" t="n"/>
      <c r="D15" s="13" t="n"/>
      <c r="E15" s="13" t="n">
        <v>0</v>
      </c>
      <c r="F15" s="13" t="n">
        <v>0</v>
      </c>
      <c r="G15" s="20">
        <f>SUM(B15:F15)</f>
        <v/>
      </c>
      <c r="H15" s="21" t="n">
        <v>2</v>
      </c>
      <c r="I15" s="20">
        <f>G15*H15</f>
        <v/>
      </c>
    </row>
    <row r="16" ht="15" customHeight="1" s="250">
      <c r="A16" s="17" t="inlineStr">
        <is>
          <t>Commercial Dishwasher</t>
        </is>
      </c>
      <c r="B16" s="13" t="n">
        <v>0</v>
      </c>
      <c r="C16" s="13" t="n"/>
      <c r="D16" s="13" t="n"/>
      <c r="E16" s="13" t="n">
        <v>0</v>
      </c>
      <c r="F16" s="13" t="n">
        <v>0</v>
      </c>
      <c r="G16" s="18">
        <f>SUM(B16:F16)</f>
        <v/>
      </c>
      <c r="H16" s="19" t="n">
        <v>4</v>
      </c>
      <c r="I16" s="18">
        <f>G16*H16</f>
        <v/>
      </c>
    </row>
    <row r="17" ht="15" customHeight="1" s="250">
      <c r="A17" s="249" t="inlineStr">
        <is>
          <t>Ice Maker Connection</t>
        </is>
      </c>
      <c r="B17" s="13" t="n">
        <v>0</v>
      </c>
      <c r="C17" s="13" t="n"/>
      <c r="D17" s="13" t="n"/>
      <c r="E17" s="13" t="n">
        <v>0</v>
      </c>
      <c r="F17" s="13" t="n">
        <v>0</v>
      </c>
      <c r="G17" s="20">
        <f>SUM(B17:F17)</f>
        <v/>
      </c>
      <c r="H17" s="21" t="n">
        <v>1</v>
      </c>
      <c r="I17" s="20">
        <f>G17*H17</f>
        <v/>
      </c>
    </row>
    <row r="18" ht="15" customHeight="1" s="250">
      <c r="A18" s="16" t="inlineStr">
        <is>
          <t>── UTILITY / SPECIALTY ──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</row>
    <row r="19" ht="15" customHeight="1" s="250">
      <c r="A19" s="17" t="inlineStr">
        <is>
          <t>Mop Sink / Service Sink</t>
        </is>
      </c>
      <c r="B19" s="13" t="n">
        <v>1</v>
      </c>
      <c r="C19" s="13" t="n"/>
      <c r="D19" s="13" t="n"/>
      <c r="E19" s="13" t="n">
        <v>0</v>
      </c>
      <c r="F19" s="13" t="n">
        <v>0</v>
      </c>
      <c r="G19" s="18">
        <f>SUM(B19:F19)</f>
        <v/>
      </c>
      <c r="H19" s="19" t="n">
        <v>3</v>
      </c>
      <c r="I19" s="18">
        <f>G19*H19</f>
        <v/>
      </c>
    </row>
    <row r="20" ht="15" customHeight="1" s="250">
      <c r="A20" s="249" t="inlineStr">
        <is>
          <t>Floor Drain (2")</t>
        </is>
      </c>
      <c r="B20" s="13" t="n">
        <v>0</v>
      </c>
      <c r="C20" s="13" t="n"/>
      <c r="D20" s="13" t="n"/>
      <c r="E20" s="13" t="n">
        <v>0</v>
      </c>
      <c r="F20" s="13" t="n">
        <v>0</v>
      </c>
      <c r="G20" s="20">
        <f>SUM(B20:F20)</f>
        <v/>
      </c>
      <c r="H20" s="21" t="n">
        <v>1</v>
      </c>
      <c r="I20" s="20">
        <f>G20*H20</f>
        <v/>
      </c>
    </row>
    <row r="21" ht="15" customHeight="1" s="250">
      <c r="A21" s="17" t="inlineStr">
        <is>
          <t>Floor Drain (3")</t>
        </is>
      </c>
      <c r="B21" s="13" t="n">
        <v>0</v>
      </c>
      <c r="C21" s="13" t="n"/>
      <c r="D21" s="13" t="n"/>
      <c r="E21" s="13" t="n">
        <v>0</v>
      </c>
      <c r="F21" s="13" t="n">
        <v>0</v>
      </c>
      <c r="G21" s="18">
        <f>SUM(B21:F21)</f>
        <v/>
      </c>
      <c r="H21" s="19" t="n">
        <v>2</v>
      </c>
      <c r="I21" s="18">
        <f>G21*H21</f>
        <v/>
      </c>
    </row>
    <row r="22" ht="15" customHeight="1" s="250">
      <c r="A22" s="249" t="inlineStr">
        <is>
          <t>Floor Drain (4")</t>
        </is>
      </c>
      <c r="B22" s="13" t="n">
        <v>9</v>
      </c>
      <c r="C22" s="13" t="n"/>
      <c r="D22" s="13" t="n"/>
      <c r="E22" s="13" t="n">
        <v>0</v>
      </c>
      <c r="F22" s="13" t="n">
        <v>0</v>
      </c>
      <c r="G22" s="20">
        <f>SUM(B22:F22)</f>
        <v/>
      </c>
      <c r="H22" s="21" t="n">
        <v>3</v>
      </c>
      <c r="I22" s="20">
        <f>G22*H22</f>
        <v/>
      </c>
    </row>
    <row r="23" ht="15" customHeight="1" s="250">
      <c r="A23" s="17" t="inlineStr">
        <is>
          <t>Floor Sink</t>
        </is>
      </c>
      <c r="B23" s="13" t="n">
        <v>0</v>
      </c>
      <c r="C23" s="13" t="n"/>
      <c r="D23" s="13" t="n"/>
      <c r="E23" s="13" t="n">
        <v>0</v>
      </c>
      <c r="F23" s="13" t="n">
        <v>0</v>
      </c>
      <c r="G23" s="18">
        <f>SUM(B23:F23)</f>
        <v/>
      </c>
      <c r="H23" s="19" t="n">
        <v>2</v>
      </c>
      <c r="I23" s="18">
        <f>G23*H23</f>
        <v/>
      </c>
    </row>
    <row r="24" ht="15" customHeight="1" s="250">
      <c r="A24" s="249" t="inlineStr">
        <is>
          <t>Drinking Fountain</t>
        </is>
      </c>
      <c r="B24" s="13" t="n">
        <v>1</v>
      </c>
      <c r="C24" s="13" t="n"/>
      <c r="D24" s="13" t="n"/>
      <c r="E24" s="13" t="n">
        <v>0</v>
      </c>
      <c r="F24" s="13" t="n">
        <v>0</v>
      </c>
      <c r="G24" s="20">
        <f>SUM(B24:F24)</f>
        <v/>
      </c>
      <c r="H24" s="21" t="n">
        <v>1</v>
      </c>
      <c r="I24" s="20">
        <f>G24*H24</f>
        <v/>
      </c>
    </row>
    <row r="25" ht="15" customHeight="1" s="250">
      <c r="A25" s="17" t="inlineStr">
        <is>
          <t>Emergency Eyewash / Shower</t>
        </is>
      </c>
      <c r="B25" s="13" t="n">
        <v>0</v>
      </c>
      <c r="C25" s="13" t="n"/>
      <c r="D25" s="13" t="n"/>
      <c r="E25" s="13" t="n">
        <v>0</v>
      </c>
      <c r="F25" s="13" t="n">
        <v>0</v>
      </c>
      <c r="G25" s="18">
        <f>SUM(B25:F25)</f>
        <v/>
      </c>
      <c r="H25" s="19" t="n">
        <v>2</v>
      </c>
      <c r="I25" s="18">
        <f>G25*H25</f>
        <v/>
      </c>
    </row>
    <row r="26" ht="15" customHeight="1" s="250">
      <c r="A26" s="249" t="inlineStr">
        <is>
          <t>Hose Bib / Yard Hydrant</t>
        </is>
      </c>
      <c r="B26" s="13" t="n">
        <v>2</v>
      </c>
      <c r="C26" s="13" t="n"/>
      <c r="D26" s="13" t="n"/>
      <c r="E26" s="13" t="n">
        <v>0</v>
      </c>
      <c r="F26" s="13" t="n">
        <v>0</v>
      </c>
      <c r="G26" s="20">
        <f>SUM(B26:F26)</f>
        <v/>
      </c>
      <c r="H26" s="21" t="n">
        <v>3</v>
      </c>
      <c r="I26" s="20">
        <f>G26*H26</f>
        <v/>
      </c>
    </row>
    <row r="27" ht="15" customHeight="1" s="250">
      <c r="A27" s="17" t="inlineStr">
        <is>
          <t>Wall Hydrant (Non-Freeze)</t>
        </is>
      </c>
      <c r="B27" s="13" t="n">
        <v>0</v>
      </c>
      <c r="C27" s="13" t="n"/>
      <c r="D27" s="13" t="n"/>
      <c r="E27" s="13" t="n">
        <v>0</v>
      </c>
      <c r="F27" s="13" t="n">
        <v>0</v>
      </c>
      <c r="G27" s="18">
        <f>SUM(B27:F27)</f>
        <v/>
      </c>
      <c r="H27" s="19" t="n">
        <v>3</v>
      </c>
      <c r="I27" s="18">
        <f>G27*H27</f>
        <v/>
      </c>
    </row>
    <row r="28" ht="15" customHeight="1" s="250">
      <c r="A28" s="161" t="inlineStr">
        <is>
          <t>Roof Drain</t>
        </is>
      </c>
      <c r="B28" s="162" t="n">
        <v>0</v>
      </c>
      <c r="C28" s="162" t="n"/>
      <c r="D28" s="162" t="n"/>
      <c r="E28" s="162" t="n">
        <v>0</v>
      </c>
      <c r="F28" s="162" t="n">
        <v>0</v>
      </c>
      <c r="G28" s="163">
        <f>SUM(B28:F28)</f>
        <v/>
      </c>
      <c r="H28" s="164" t="n">
        <v>2</v>
      </c>
      <c r="I28" s="163">
        <f>G28*H28</f>
        <v/>
      </c>
    </row>
    <row r="29" ht="15" customHeight="1" s="250">
      <c r="A29" s="165" t="inlineStr">
        <is>
          <t>Cleanout</t>
        </is>
      </c>
      <c r="B29" s="162" t="n">
        <v>4</v>
      </c>
      <c r="C29" s="162" t="n">
        <v>0</v>
      </c>
      <c r="D29" s="162" t="n">
        <v>0</v>
      </c>
      <c r="E29" s="162" t="n">
        <v>0</v>
      </c>
      <c r="F29" s="162" t="n">
        <v>0</v>
      </c>
      <c r="G29" s="166">
        <f>SUM(B29:F29)</f>
        <v/>
      </c>
      <c r="H29" s="167" t="n">
        <v>0</v>
      </c>
      <c r="I29" s="166">
        <f>G29*H29</f>
        <v/>
      </c>
    </row>
    <row r="30" ht="15" customHeight="1" s="250">
      <c r="A30" s="161" t="inlineStr">
        <is>
          <t>Trap Primer Valve</t>
        </is>
      </c>
      <c r="B30" s="162" t="n">
        <v>0</v>
      </c>
      <c r="C30" s="162" t="n">
        <v>0</v>
      </c>
      <c r="D30" s="162" t="n">
        <v>0</v>
      </c>
      <c r="E30" s="162" t="n">
        <v>0</v>
      </c>
      <c r="F30" s="162" t="n">
        <v>0</v>
      </c>
      <c r="G30" s="163">
        <f>SUM(B30:F30)</f>
        <v/>
      </c>
      <c r="H30" s="164" t="n">
        <v>0</v>
      </c>
      <c r="I30" s="163">
        <f>G30*H30</f>
        <v/>
      </c>
    </row>
    <row r="31" ht="15" customHeight="1" s="250">
      <c r="A31" s="16" t="inlineStr">
        <is>
          <t>── MECHANICAL ROOM ──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</row>
    <row r="32" ht="15" customHeight="1" s="250">
      <c r="A32" s="249" t="inlineStr">
        <is>
          <t>Water Heater Drain / Relief</t>
        </is>
      </c>
      <c r="B32" s="13" t="n">
        <v>1</v>
      </c>
      <c r="C32" s="13" t="n">
        <v>0</v>
      </c>
      <c r="D32" s="13" t="n">
        <v>0</v>
      </c>
      <c r="E32" s="13" t="n">
        <v>0</v>
      </c>
      <c r="F32" s="13" t="n">
        <v>0</v>
      </c>
      <c r="G32" s="20">
        <f>SUM(B32:F32)</f>
        <v/>
      </c>
      <c r="H32" s="21" t="n">
        <v>2</v>
      </c>
      <c r="I32" s="20">
        <f>G32*H32</f>
        <v/>
      </c>
    </row>
    <row r="33" ht="15" customHeight="1" s="250">
      <c r="A33" s="17" t="inlineStr">
        <is>
          <t>Expansion Tank Connection</t>
        </is>
      </c>
      <c r="B33" s="13" t="n">
        <v>1</v>
      </c>
      <c r="C33" s="13" t="n">
        <v>0</v>
      </c>
      <c r="D33" s="13" t="n">
        <v>0</v>
      </c>
      <c r="E33" s="13" t="n">
        <v>0</v>
      </c>
      <c r="F33" s="13" t="n">
        <v>0</v>
      </c>
      <c r="G33" s="18">
        <f>SUM(B33:F33)</f>
        <v/>
      </c>
      <c r="H33" s="19" t="n">
        <v>0</v>
      </c>
      <c r="I33" s="18">
        <f>G33*H33</f>
        <v/>
      </c>
    </row>
    <row r="34" ht="15" customHeight="1" s="250">
      <c r="A34" s="249" t="inlineStr">
        <is>
          <t>Backflow Preventer (1" and under)</t>
        </is>
      </c>
      <c r="B34" s="13" t="n">
        <v>0</v>
      </c>
      <c r="C34" s="13" t="n">
        <v>0</v>
      </c>
      <c r="D34" s="13" t="n">
        <v>0</v>
      </c>
      <c r="E34" s="13" t="n">
        <v>0</v>
      </c>
      <c r="F34" s="13" t="n">
        <v>0</v>
      </c>
      <c r="G34" s="20">
        <f>SUM(B34:F34)</f>
        <v/>
      </c>
      <c r="H34" s="21" t="n">
        <v>0</v>
      </c>
      <c r="I34" s="20">
        <f>G34*H34</f>
        <v/>
      </c>
    </row>
    <row r="35" ht="15" customHeight="1" s="250">
      <c r="A35" s="17" t="inlineStr">
        <is>
          <t>Backflow Preventer (over 1")</t>
        </is>
      </c>
      <c r="B35" s="13" t="n">
        <v>0</v>
      </c>
      <c r="C35" s="13" t="n">
        <v>0</v>
      </c>
      <c r="D35" s="13" t="n">
        <v>0</v>
      </c>
      <c r="E35" s="13" t="n">
        <v>0</v>
      </c>
      <c r="F35" s="13" t="n">
        <v>0</v>
      </c>
      <c r="G35" s="18">
        <f>SUM(B35:F35)</f>
        <v/>
      </c>
      <c r="H35" s="19" t="n">
        <v>0</v>
      </c>
      <c r="I35" s="18">
        <f>G35*H35</f>
        <v/>
      </c>
    </row>
    <row r="36" ht="15" customHeight="1" s="250">
      <c r="A36" s="249" t="inlineStr">
        <is>
          <t>Grease Interceptor (Indoor)</t>
        </is>
      </c>
      <c r="B36" s="13" t="n">
        <v>0</v>
      </c>
      <c r="C36" s="13" t="n">
        <v>0</v>
      </c>
      <c r="D36" s="13" t="n">
        <v>0</v>
      </c>
      <c r="E36" s="13" t="n">
        <v>0</v>
      </c>
      <c r="F36" s="13" t="n">
        <v>0</v>
      </c>
      <c r="G36" s="20">
        <f>SUM(B36:F36)</f>
        <v/>
      </c>
      <c r="H36" s="21" t="n">
        <v>4</v>
      </c>
      <c r="I36" s="20">
        <f>G36*H36</f>
        <v/>
      </c>
    </row>
    <row r="37" ht="15" customHeight="1" s="250">
      <c r="A37" s="17" t="inlineStr">
        <is>
          <t>PRV Station</t>
        </is>
      </c>
      <c r="B37" s="13" t="n">
        <v>0</v>
      </c>
      <c r="C37" s="13" t="n">
        <v>0</v>
      </c>
      <c r="D37" s="13" t="n">
        <v>0</v>
      </c>
      <c r="E37" s="13" t="n">
        <v>0</v>
      </c>
      <c r="F37" s="13" t="n">
        <v>0</v>
      </c>
      <c r="G37" s="18">
        <f>SUM(B37:F37)</f>
        <v/>
      </c>
      <c r="H37" s="19" t="n">
        <v>0</v>
      </c>
      <c r="I37" s="18">
        <f>G37*H37</f>
        <v/>
      </c>
    </row>
    <row r="38" ht="15" customHeight="1" s="250">
      <c r="A38" s="165" t="inlineStr">
        <is>
          <t>Commercial Water Heater (Tank)</t>
        </is>
      </c>
      <c r="B38" s="162" t="n">
        <v>1</v>
      </c>
      <c r="C38" s="162" t="n">
        <v>0</v>
      </c>
      <c r="D38" s="162" t="n">
        <v>0</v>
      </c>
      <c r="E38" s="162" t="n">
        <v>0</v>
      </c>
      <c r="F38" s="162" t="n">
        <v>0</v>
      </c>
      <c r="G38" s="166">
        <f>SUM(B38:F38)</f>
        <v/>
      </c>
      <c r="H38" s="167" t="n">
        <v>4</v>
      </c>
      <c r="I38" s="166">
        <f>G38*H38</f>
        <v/>
      </c>
    </row>
    <row r="39" ht="15" customHeight="1" s="250">
      <c r="A39" s="249" t="inlineStr">
        <is>
          <t>Tankless Water Heater (commercial)</t>
        </is>
      </c>
      <c r="B39" s="13" t="n">
        <v>0</v>
      </c>
      <c r="C39" s="13" t="n">
        <v>0</v>
      </c>
      <c r="D39" s="13" t="n">
        <v>0</v>
      </c>
      <c r="E39" s="13" t="n">
        <v>0</v>
      </c>
      <c r="F39" s="13" t="n">
        <v>0</v>
      </c>
      <c r="G39" s="20">
        <f>SUM(B39:F39)</f>
        <v/>
      </c>
      <c r="H39" s="21" t="n">
        <v>4</v>
      </c>
      <c r="I39" s="20">
        <f>G39*H39</f>
        <v/>
      </c>
    </row>
    <row r="40" ht="15" customHeight="1" s="250">
      <c r="A40" s="17" t="inlineStr">
        <is>
          <t>Mixing Valve / TMV (Tempering)</t>
        </is>
      </c>
      <c r="B40" s="13" t="n">
        <v>6</v>
      </c>
      <c r="C40" s="13" t="n">
        <v>0</v>
      </c>
      <c r="D40" s="13" t="n">
        <v>0</v>
      </c>
      <c r="E40" s="13" t="n">
        <v>0</v>
      </c>
      <c r="F40" s="13" t="n">
        <v>0</v>
      </c>
      <c r="G40" s="18">
        <f>SUM(B40:F40)</f>
        <v/>
      </c>
      <c r="H40" s="19" t="n">
        <v>0</v>
      </c>
      <c r="I40" s="18">
        <f>G40*H40</f>
        <v/>
      </c>
    </row>
    <row r="41" ht="15" customHeight="1" s="250">
      <c r="A41" s="249" t="inlineStr">
        <is>
          <t>Recirculation Pump</t>
        </is>
      </c>
      <c r="B41" s="13" t="n">
        <v>0</v>
      </c>
      <c r="C41" s="13" t="n">
        <v>0</v>
      </c>
      <c r="D41" s="13" t="n">
        <v>0</v>
      </c>
      <c r="E41" s="13" t="n">
        <v>0</v>
      </c>
      <c r="F41" s="13" t="n">
        <v>0</v>
      </c>
      <c r="G41" s="20">
        <f>SUM(B41:F41)</f>
        <v/>
      </c>
      <c r="H41" s="21" t="n">
        <v>0</v>
      </c>
      <c r="I41" s="20">
        <f>G41*H41</f>
        <v/>
      </c>
    </row>
    <row r="42" ht="15" customHeight="1" s="250" thickBot="1">
      <c r="A42" s="249" t="inlineStr">
        <is>
          <t>Ext. Grease Interceptor / Sand Sep.</t>
        </is>
      </c>
      <c r="B42" s="13" t="n">
        <v>0</v>
      </c>
      <c r="C42" s="13" t="n">
        <v>0</v>
      </c>
      <c r="D42" s="13" t="n">
        <v>0</v>
      </c>
      <c r="E42" s="13" t="n">
        <v>0</v>
      </c>
      <c r="F42" s="13" t="n">
        <v>0</v>
      </c>
      <c r="G42" s="20">
        <f>SUM(B42:F42)</f>
        <v/>
      </c>
      <c r="H42" s="21" t="n">
        <v>4</v>
      </c>
      <c r="I42" s="20">
        <f>G42*H42</f>
        <v/>
      </c>
    </row>
    <row r="43" ht="15" customHeight="1" s="250" thickBot="1">
      <c r="A43" s="251" t="inlineStr">
        <is>
          <t>TOTAL FIXTURE UNITS (DFU)</t>
        </is>
      </c>
      <c r="B43" s="22" t="n"/>
      <c r="C43" s="22" t="n"/>
      <c r="D43" s="22" t="n"/>
      <c r="E43" s="22" t="n"/>
      <c r="F43" s="22" t="n"/>
      <c r="G43" s="23">
        <f>SUM(G5:G42)</f>
        <v/>
      </c>
      <c r="H43" s="22" t="n"/>
      <c r="I43" s="23">
        <f>SUM(I5:I42)</f>
        <v/>
      </c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I54"/>
  <sheetViews>
    <sheetView showGridLines="0" zoomScaleNormal="100" workbookViewId="0">
      <selection activeCell="D22" sqref="D22"/>
    </sheetView>
  </sheetViews>
  <sheetFormatPr baseColWidth="8" defaultColWidth="8.7109375" defaultRowHeight="15"/>
  <cols>
    <col width="32" customWidth="1" style="250" min="1" max="1"/>
    <col width="25.7109375" customWidth="1" style="250" min="2" max="2"/>
    <col width="20.28515625" customWidth="1" style="250" min="3" max="3"/>
    <col width="25.5703125" customWidth="1" style="250" min="4" max="4"/>
    <col width="21.28515625" customWidth="1" style="250" min="5" max="5"/>
    <col width="32" customWidth="1" style="250" min="6" max="6"/>
    <col width="27.5703125" customWidth="1" style="250" min="7" max="7"/>
    <col width="16" customWidth="1" style="250" min="8" max="9"/>
  </cols>
  <sheetData>
    <row r="1" ht="27.75" customHeight="1" s="250">
      <c r="A1" s="223" t="inlineStr">
        <is>
          <t>BARRETT PLUMBING INC. — PIPE TAKEOFF HELPER</t>
        </is>
      </c>
      <c r="B1" s="61" t="n"/>
      <c r="C1" s="61" t="n"/>
      <c r="D1" s="61" t="n"/>
      <c r="E1" s="61" t="n"/>
      <c r="F1" s="61" t="n"/>
      <c r="G1" s="61" t="n"/>
      <c r="H1" s="61" t="n"/>
      <c r="I1" s="62" t="n"/>
    </row>
    <row r="2" ht="19.5" customHeight="1" s="250">
      <c r="A2" s="236" t="inlineStr">
        <is>
          <t>BUILT-IN HELPER: Enter room/zone counts + avg run length to estimate LF. Then override final LF in the green cells if you have an actual takeoff.</t>
        </is>
      </c>
    </row>
    <row r="4" ht="19.5" customHeight="1" s="250">
      <c r="A4" s="233" t="inlineStr">
        <is>
          <t>SYSTEM: DWV — Schedule 40 PVC</t>
        </is>
      </c>
      <c r="B4" s="61" t="n"/>
      <c r="C4" s="61" t="n"/>
      <c r="D4" s="61" t="n"/>
      <c r="E4" s="61" t="n"/>
      <c r="F4" s="61" t="n"/>
      <c r="G4" s="61" t="n"/>
      <c r="H4" s="61" t="n"/>
      <c r="I4" s="62" t="n"/>
    </row>
    <row r="5" ht="15" customHeight="1" s="250">
      <c r="A5" s="225" t="inlineStr">
        <is>
          <t>Pipe Size</t>
        </is>
      </c>
      <c r="B5" s="225" t="inlineStr">
        <is>
          <t>Underground LF (Helper)</t>
        </is>
      </c>
      <c r="C5" s="225" t="inlineStr">
        <is>
          <t>In-Wall LF (Helper)</t>
        </is>
      </c>
      <c r="D5" s="225" t="inlineStr">
        <is>
          <t>Ceiling / Rafter LF (Helper)</t>
        </is>
      </c>
      <c r="E5" s="229" t="inlineStr">
        <is>
          <t>TOTAL HELPER LF</t>
        </is>
      </c>
      <c r="F5" s="225" t="inlineStr">
        <is>
          <t>OVERRIDE LF (manual entry)</t>
        </is>
      </c>
      <c r="G5" s="229" t="inlineStr">
        <is>
          <t>FINAL LF (used in estimate)</t>
        </is>
      </c>
    </row>
    <row r="6" ht="15" customHeight="1" s="250">
      <c r="A6" s="249" t="inlineStr">
        <is>
          <t>6"</t>
        </is>
      </c>
      <c r="B6" s="25" t="n">
        <v>10</v>
      </c>
      <c r="C6" s="25" t="n">
        <v>0</v>
      </c>
      <c r="D6" s="25" t="n">
        <v>0</v>
      </c>
      <c r="E6" s="26">
        <f>B6+C6+D6</f>
        <v/>
      </c>
      <c r="F6" s="27" t="n"/>
      <c r="G6" s="28">
        <f>IF(F6&lt;&gt;"",F6,E6)</f>
        <v/>
      </c>
    </row>
    <row r="7" ht="15" customHeight="1" s="250">
      <c r="A7" s="249" t="inlineStr">
        <is>
          <t>4"</t>
        </is>
      </c>
      <c r="B7" s="25" t="n">
        <v>120</v>
      </c>
      <c r="C7" s="25" t="n">
        <v>0</v>
      </c>
      <c r="D7" s="25" t="n">
        <v>0</v>
      </c>
      <c r="E7" s="26">
        <f>B7+C7+D7</f>
        <v/>
      </c>
      <c r="F7" s="27" t="n"/>
      <c r="G7" s="28">
        <f>IF(F7&lt;&gt;"",F7,E7)</f>
        <v/>
      </c>
    </row>
    <row r="8" ht="15" customHeight="1" s="250">
      <c r="A8" s="249" t="inlineStr">
        <is>
          <t>3"</t>
        </is>
      </c>
      <c r="B8" s="25" t="n">
        <v>0</v>
      </c>
      <c r="C8" s="25" t="n">
        <v>0</v>
      </c>
      <c r="D8" s="25" t="n">
        <v>0</v>
      </c>
      <c r="E8" s="26">
        <f>B8+C8+D8</f>
        <v/>
      </c>
      <c r="F8" s="27" t="n"/>
      <c r="G8" s="28">
        <f>IF(F8&lt;&gt;"",F8,E8)</f>
        <v/>
      </c>
    </row>
    <row r="9" ht="15" customHeight="1" s="250">
      <c r="A9" s="249" t="inlineStr">
        <is>
          <t>2"</t>
        </is>
      </c>
      <c r="B9" s="25" t="n">
        <v>0</v>
      </c>
      <c r="C9" s="25" t="n">
        <v>0</v>
      </c>
      <c r="D9" s="25" t="n">
        <v>80</v>
      </c>
      <c r="E9" s="26">
        <f>B9+C9+D9</f>
        <v/>
      </c>
      <c r="F9" s="27" t="n"/>
      <c r="G9" s="28">
        <f>IF(F9&lt;&gt;"",F9,E9)</f>
        <v/>
      </c>
    </row>
    <row r="10" ht="15" customHeight="1" s="250">
      <c r="A10" s="249" t="inlineStr">
        <is>
          <t>1-1/2"</t>
        </is>
      </c>
      <c r="B10" s="25" t="n">
        <v>0</v>
      </c>
      <c r="C10" s="25" t="n">
        <v>0</v>
      </c>
      <c r="D10" s="25" t="n">
        <v>130</v>
      </c>
      <c r="E10" s="26">
        <f>B10+C10+D10</f>
        <v/>
      </c>
      <c r="F10" s="27" t="n"/>
      <c r="G10" s="28">
        <f>IF(F10&lt;&gt;"",F10,E10)</f>
        <v/>
      </c>
    </row>
    <row r="11" ht="15" customHeight="1" s="250">
      <c r="A11" s="249" t="inlineStr">
        <is>
          <t>1-1/4"</t>
        </is>
      </c>
      <c r="B11" s="25" t="n">
        <v>0</v>
      </c>
      <c r="C11" s="25" t="n">
        <v>0</v>
      </c>
      <c r="D11" s="25" t="n">
        <v>0</v>
      </c>
      <c r="E11" s="26">
        <f>B11+C11+D11</f>
        <v/>
      </c>
      <c r="F11" s="27" t="n"/>
      <c r="G11" s="28">
        <f>IF(F11&lt;&gt;"",F11,E11)</f>
        <v/>
      </c>
    </row>
    <row r="12" ht="15" customHeight="1" s="250">
      <c r="A12" s="29" t="inlineStr">
        <is>
          <t>TOTAL DWV LF</t>
        </is>
      </c>
      <c r="B12" s="30">
        <f>SUM(B6:B11)</f>
        <v/>
      </c>
      <c r="C12" s="30">
        <f>SUM(C6:C11)</f>
        <v/>
      </c>
      <c r="D12" s="30">
        <f>SUM(D6:D11)</f>
        <v/>
      </c>
      <c r="E12" s="30">
        <f>SUM(E6:E11)</f>
        <v/>
      </c>
      <c r="F12" s="22" t="n"/>
      <c r="G12" s="30">
        <f>SUM(G6:G11)</f>
        <v/>
      </c>
    </row>
    <row r="14" ht="19.5" customHeight="1" s="250">
      <c r="A14" s="237" t="inlineStr">
        <is>
          <t>SYSTEM: DOMESTIC WATER SUPPLY (Cold)</t>
        </is>
      </c>
      <c r="B14" s="61" t="n"/>
      <c r="C14" s="61" t="n"/>
      <c r="D14" s="61" t="n"/>
      <c r="E14" s="61" t="n"/>
      <c r="F14" s="61" t="n"/>
      <c r="G14" s="61" t="n"/>
      <c r="H14" s="61" t="n"/>
      <c r="I14" s="62" t="n"/>
    </row>
    <row r="15" ht="15" customHeight="1" s="250">
      <c r="A15" s="225" t="inlineStr">
        <is>
          <t>Pipe Size</t>
        </is>
      </c>
      <c r="B15" s="225" t="inlineStr">
        <is>
          <t>Underground LF (Helper)</t>
        </is>
      </c>
      <c r="C15" s="225" t="inlineStr">
        <is>
          <t>In-Wall LF (Helper)</t>
        </is>
      </c>
      <c r="D15" s="225" t="inlineStr">
        <is>
          <t>Ceiling / Rafter LF (Helper)</t>
        </is>
      </c>
      <c r="E15" s="229" t="inlineStr">
        <is>
          <t>TOTAL HELPER LF</t>
        </is>
      </c>
      <c r="F15" s="225" t="inlineStr">
        <is>
          <t>OVERRIDE LF (manual entry)</t>
        </is>
      </c>
      <c r="G15" s="229" t="inlineStr">
        <is>
          <t>FINAL LF (used in estimate)</t>
        </is>
      </c>
    </row>
    <row r="16" ht="15" customHeight="1" s="250">
      <c r="A16" s="249" t="inlineStr">
        <is>
          <t>2"</t>
        </is>
      </c>
      <c r="B16" s="25" t="n">
        <v>0</v>
      </c>
      <c r="C16" s="25" t="n">
        <v>0</v>
      </c>
      <c r="D16" s="25" t="n">
        <v>20</v>
      </c>
      <c r="E16" s="26">
        <f>B16+C16+D16</f>
        <v/>
      </c>
      <c r="F16" s="27" t="n"/>
      <c r="G16" s="28">
        <f>IF(F16&lt;&gt;"",F16,E16)</f>
        <v/>
      </c>
    </row>
    <row r="17" ht="15" customHeight="1" s="250">
      <c r="A17" s="249" t="inlineStr">
        <is>
          <t>1-1/2"</t>
        </is>
      </c>
      <c r="B17" s="25" t="n">
        <v>0</v>
      </c>
      <c r="C17" s="25" t="n">
        <v>0</v>
      </c>
      <c r="D17" s="25" t="n">
        <v>20</v>
      </c>
      <c r="E17" s="26">
        <f>B17+C17+D17</f>
        <v/>
      </c>
      <c r="F17" s="27" t="n"/>
      <c r="G17" s="28">
        <f>IF(F17&lt;&gt;"",F17,E17)</f>
        <v/>
      </c>
    </row>
    <row r="18" ht="15" customHeight="1" s="250">
      <c r="A18" s="249" t="inlineStr">
        <is>
          <t>1-1/4"</t>
        </is>
      </c>
      <c r="B18" s="25" t="n">
        <v>0</v>
      </c>
      <c r="C18" s="25" t="n">
        <v>0</v>
      </c>
      <c r="D18" s="25" t="n">
        <v>0</v>
      </c>
      <c r="E18" s="26">
        <f>B18+C18+D18</f>
        <v/>
      </c>
      <c r="F18" s="27" t="n"/>
      <c r="G18" s="28">
        <f>IF(F18&lt;&gt;"",F18,E18)</f>
        <v/>
      </c>
    </row>
    <row r="19" ht="15" customHeight="1" s="250">
      <c r="A19" s="249" t="inlineStr">
        <is>
          <t>1"</t>
        </is>
      </c>
      <c r="B19" s="25" t="n">
        <v>0</v>
      </c>
      <c r="C19" s="25" t="n">
        <v>0</v>
      </c>
      <c r="D19" s="25" t="n">
        <v>80</v>
      </c>
      <c r="E19" s="26">
        <f>B19+C19+D19</f>
        <v/>
      </c>
      <c r="F19" s="27" t="n"/>
      <c r="G19" s="28">
        <f>IF(F19&lt;&gt;"",F19,E19)</f>
        <v/>
      </c>
    </row>
    <row r="20" ht="15" customHeight="1" s="250">
      <c r="A20" s="249" t="inlineStr">
        <is>
          <t>3/4"</t>
        </is>
      </c>
      <c r="B20" s="25" t="n">
        <v>0</v>
      </c>
      <c r="C20" s="25" t="n">
        <v>0</v>
      </c>
      <c r="D20" s="25" t="n">
        <v>20</v>
      </c>
      <c r="E20" s="26">
        <f>B20+C20+D20</f>
        <v/>
      </c>
      <c r="F20" s="27" t="n"/>
      <c r="G20" s="28">
        <f>IF(F20&lt;&gt;"",F20,E20)</f>
        <v/>
      </c>
    </row>
    <row r="21" ht="15" customHeight="1" s="250">
      <c r="A21" s="249" t="inlineStr">
        <is>
          <t>1/2"</t>
        </is>
      </c>
      <c r="B21" s="25" t="n">
        <v>0</v>
      </c>
      <c r="C21" s="25" t="n">
        <v>280</v>
      </c>
      <c r="D21" s="25" t="n">
        <v>120</v>
      </c>
      <c r="E21" s="26">
        <f>B21+C21+D21</f>
        <v/>
      </c>
      <c r="F21" s="27" t="n"/>
      <c r="G21" s="28">
        <f>IF(F21&lt;&gt;"",F21,E21)</f>
        <v/>
      </c>
    </row>
    <row r="22" ht="15" customHeight="1" s="250">
      <c r="A22" s="29" t="inlineStr">
        <is>
          <t>TOTAL COLD WATER LF</t>
        </is>
      </c>
      <c r="B22" s="30">
        <f>SUM(B16:B21)</f>
        <v/>
      </c>
      <c r="C22" s="30">
        <f>SUM(C16:C21)</f>
        <v/>
      </c>
      <c r="D22" s="30">
        <f>SUM(D16:D21)</f>
        <v/>
      </c>
      <c r="E22" s="30">
        <f>SUM(E16:E21)</f>
        <v/>
      </c>
      <c r="F22" s="22" t="n"/>
      <c r="G22" s="30">
        <f>SUM(G16:G21)</f>
        <v/>
      </c>
    </row>
    <row r="24" ht="19.5" customHeight="1" s="250">
      <c r="A24" s="237" t="inlineStr">
        <is>
          <t>SYSTEM: DOMESTIC WATER SUPPLY (Hot)</t>
        </is>
      </c>
      <c r="B24" s="61" t="n"/>
      <c r="C24" s="61" t="n"/>
      <c r="D24" s="61" t="n"/>
      <c r="E24" s="61" t="n"/>
      <c r="F24" s="61" t="n"/>
      <c r="G24" s="61" t="n"/>
      <c r="H24" s="61" t="n"/>
      <c r="I24" s="62" t="n"/>
    </row>
    <row r="25" ht="15" customHeight="1" s="250">
      <c r="A25" s="225" t="inlineStr">
        <is>
          <t>Pipe Size</t>
        </is>
      </c>
      <c r="B25" s="225" t="inlineStr">
        <is>
          <t>Underground LF (Helper)</t>
        </is>
      </c>
      <c r="C25" s="225" t="inlineStr">
        <is>
          <t>In-Wall LF (Helper)</t>
        </is>
      </c>
      <c r="D25" s="225" t="inlineStr">
        <is>
          <t>Ceiling / Rafter LF (Helper)</t>
        </is>
      </c>
      <c r="E25" s="229" t="inlineStr">
        <is>
          <t>TOTAL HELPER LF</t>
        </is>
      </c>
      <c r="F25" s="225" t="inlineStr">
        <is>
          <t>OVERRIDE LF (manual entry)</t>
        </is>
      </c>
      <c r="G25" s="229" t="inlineStr">
        <is>
          <t>FINAL LF (used in estimate)</t>
        </is>
      </c>
    </row>
    <row r="26" ht="15" customHeight="1" s="250">
      <c r="A26" s="249" t="inlineStr">
        <is>
          <t>1-1/2"</t>
        </is>
      </c>
      <c r="B26" s="25" t="n">
        <v>0</v>
      </c>
      <c r="C26" s="25" t="n">
        <v>0</v>
      </c>
      <c r="D26" s="25" t="n">
        <v>0</v>
      </c>
      <c r="E26" s="26">
        <f>B26+C26+D26</f>
        <v/>
      </c>
      <c r="F26" s="27" t="n"/>
      <c r="G26" s="28">
        <f>IF(F26&lt;&gt;"",F26,E26)</f>
        <v/>
      </c>
    </row>
    <row r="27" ht="15" customHeight="1" s="250">
      <c r="A27" s="249" t="inlineStr">
        <is>
          <t>1-1/4"</t>
        </is>
      </c>
      <c r="B27" s="25" t="n">
        <v>0</v>
      </c>
      <c r="C27" s="25" t="n">
        <v>0</v>
      </c>
      <c r="D27" s="25" t="n">
        <v>0</v>
      </c>
      <c r="E27" s="26">
        <f>B27+C27+D27</f>
        <v/>
      </c>
      <c r="F27" s="27" t="n"/>
      <c r="G27" s="28">
        <f>IF(F27&lt;&gt;"",F27,E27)</f>
        <v/>
      </c>
    </row>
    <row r="28" ht="15" customHeight="1" s="250">
      <c r="A28" s="249" t="inlineStr">
        <is>
          <t>1"</t>
        </is>
      </c>
      <c r="B28" s="25" t="n">
        <v>0</v>
      </c>
      <c r="C28" s="25" t="n">
        <v>0</v>
      </c>
      <c r="D28" s="25" t="n">
        <v>0</v>
      </c>
      <c r="E28" s="26">
        <f>B28+C28+D28</f>
        <v/>
      </c>
      <c r="F28" s="27" t="n"/>
      <c r="G28" s="28">
        <f>IF(F28&lt;&gt;"",F28,E28)</f>
        <v/>
      </c>
    </row>
    <row r="29" ht="15" customHeight="1" s="250">
      <c r="A29" s="249" t="inlineStr">
        <is>
          <t>3/4"</t>
        </is>
      </c>
      <c r="B29" s="25" t="n">
        <v>0</v>
      </c>
      <c r="C29" s="25" t="n">
        <v>0</v>
      </c>
      <c r="D29" s="25" t="n">
        <v>0</v>
      </c>
      <c r="E29" s="26">
        <f>B29+C29+D29</f>
        <v/>
      </c>
      <c r="F29" s="27" t="n"/>
      <c r="G29" s="28">
        <f>IF(F29&lt;&gt;"",F29,E29)</f>
        <v/>
      </c>
    </row>
    <row r="30" ht="15" customHeight="1" s="250">
      <c r="A30" s="249" t="inlineStr">
        <is>
          <t>1/2"</t>
        </is>
      </c>
      <c r="B30" s="25" t="n">
        <v>0</v>
      </c>
      <c r="C30" s="25" t="n">
        <v>0</v>
      </c>
      <c r="D30" s="25" t="n">
        <v>0</v>
      </c>
      <c r="E30" s="26">
        <f>B30+C30+D30</f>
        <v/>
      </c>
      <c r="F30" s="27" t="n"/>
      <c r="G30" s="28">
        <f>IF(F30&lt;&gt;"",F30,E30)</f>
        <v/>
      </c>
    </row>
    <row r="31" ht="15" customHeight="1" s="250">
      <c r="A31" s="29" t="inlineStr">
        <is>
          <t>TOTAL HOT WATER LF</t>
        </is>
      </c>
      <c r="B31" s="30">
        <f>SUM(B26:B30)</f>
        <v/>
      </c>
      <c r="C31" s="30">
        <f>SUM(C26:C30)</f>
        <v/>
      </c>
      <c r="D31" s="30">
        <f>SUM(D26:D30)</f>
        <v/>
      </c>
      <c r="E31" s="30">
        <f>SUM(E26:E30)</f>
        <v/>
      </c>
      <c r="F31" s="22" t="n"/>
      <c r="G31" s="30">
        <f>SUM(G26:G30)</f>
        <v/>
      </c>
    </row>
    <row r="33" ht="19.5" customHeight="1" s="250">
      <c r="A33" s="233" t="inlineStr">
        <is>
          <t>SYSTEM: HOT WATER RECIRCULATION</t>
        </is>
      </c>
      <c r="B33" s="61" t="n"/>
      <c r="C33" s="61" t="n"/>
      <c r="D33" s="61" t="n"/>
      <c r="E33" s="61" t="n"/>
      <c r="F33" s="61" t="n"/>
      <c r="G33" s="61" t="n"/>
      <c r="H33" s="61" t="n"/>
      <c r="I33" s="62" t="n"/>
    </row>
    <row r="34" ht="15" customHeight="1" s="250">
      <c r="A34" s="225" t="inlineStr">
        <is>
          <t>Pipe Size</t>
        </is>
      </c>
      <c r="B34" s="225" t="inlineStr">
        <is>
          <t>Underground LF (Helper)</t>
        </is>
      </c>
      <c r="C34" s="225" t="inlineStr">
        <is>
          <t>In-Wall LF (Helper)</t>
        </is>
      </c>
      <c r="D34" s="225" t="inlineStr">
        <is>
          <t>Ceiling / Rafter LF (Helper)</t>
        </is>
      </c>
      <c r="E34" s="229" t="inlineStr">
        <is>
          <t>TOTAL HELPER LF</t>
        </is>
      </c>
      <c r="F34" s="225" t="inlineStr">
        <is>
          <t>OVERRIDE LF (manual entry)</t>
        </is>
      </c>
      <c r="G34" s="229" t="inlineStr">
        <is>
          <t>FINAL LF (used in estimate)</t>
        </is>
      </c>
    </row>
    <row r="35" ht="15" customHeight="1" s="250">
      <c r="A35" s="249" t="inlineStr">
        <is>
          <t>3/4"</t>
        </is>
      </c>
      <c r="B35" s="25" t="n">
        <v>0</v>
      </c>
      <c r="C35" s="25" t="n">
        <v>0</v>
      </c>
      <c r="D35" s="25" t="n">
        <v>0</v>
      </c>
      <c r="E35" s="26">
        <f>B35+C35+D35</f>
        <v/>
      </c>
      <c r="F35" s="27" t="n"/>
      <c r="G35" s="28">
        <f>IF(F35&lt;&gt;"",F35,E35)</f>
        <v/>
      </c>
    </row>
    <row r="36" ht="15" customHeight="1" s="250">
      <c r="A36" s="249" t="inlineStr">
        <is>
          <t>1/2"</t>
        </is>
      </c>
      <c r="B36" s="25" t="n">
        <v>0</v>
      </c>
      <c r="C36" s="25" t="n">
        <v>0</v>
      </c>
      <c r="D36" s="25" t="n">
        <v>0</v>
      </c>
      <c r="E36" s="26">
        <f>B36+C36+D36</f>
        <v/>
      </c>
      <c r="F36" s="27" t="n"/>
      <c r="G36" s="28">
        <f>IF(F36&lt;&gt;"",F36,E36)</f>
        <v/>
      </c>
    </row>
    <row r="37" ht="15" customHeight="1" s="250">
      <c r="A37" s="29" t="inlineStr">
        <is>
          <t>TOTAL RECIRC LF</t>
        </is>
      </c>
      <c r="B37" s="30">
        <f>SUM(B35:B36)</f>
        <v/>
      </c>
      <c r="C37" s="30">
        <f>SUM(C35:C36)</f>
        <v/>
      </c>
      <c r="D37" s="30">
        <f>SUM(D35:D36)</f>
        <v/>
      </c>
      <c r="E37" s="30">
        <f>SUM(E35:E36)</f>
        <v/>
      </c>
      <c r="F37" s="22" t="n"/>
      <c r="G37" s="30">
        <f>SUM(G35:G36)</f>
        <v/>
      </c>
    </row>
    <row r="39" ht="19.5" customHeight="1" s="250">
      <c r="A39" s="233" t="inlineStr">
        <is>
          <t>SYSTEM: COMPRESSED AIR — Black Iron</t>
        </is>
      </c>
      <c r="B39" s="61" t="n"/>
      <c r="C39" s="61" t="n"/>
      <c r="D39" s="61" t="n"/>
      <c r="E39" s="61" t="n"/>
      <c r="F39" s="61" t="n"/>
      <c r="G39" s="61" t="n"/>
      <c r="H39" s="61" t="n"/>
      <c r="I39" s="62" t="n"/>
    </row>
    <row r="40" ht="15" customHeight="1" s="250">
      <c r="A40" s="225" t="inlineStr">
        <is>
          <t>Pipe Size</t>
        </is>
      </c>
      <c r="B40" s="225" t="inlineStr">
        <is>
          <t>Underground LF (Helper)</t>
        </is>
      </c>
      <c r="C40" s="225" t="inlineStr">
        <is>
          <t>In-Wall LF (Helper)</t>
        </is>
      </c>
      <c r="D40" s="225" t="inlineStr">
        <is>
          <t>Ceiling / Rafter LF (Helper)</t>
        </is>
      </c>
      <c r="E40" s="229" t="inlineStr">
        <is>
          <t>TOTAL HELPER LF</t>
        </is>
      </c>
      <c r="F40" s="225" t="inlineStr">
        <is>
          <t>OVERRIDE LF (manual entry)</t>
        </is>
      </c>
      <c r="G40" s="229" t="inlineStr">
        <is>
          <t>FINAL LF (used in estimate)</t>
        </is>
      </c>
    </row>
    <row r="41" ht="15" customHeight="1" s="250">
      <c r="A41" s="249" t="inlineStr">
        <is>
          <t>2"</t>
        </is>
      </c>
      <c r="B41" s="25" t="n">
        <v>0</v>
      </c>
      <c r="C41" s="25" t="n">
        <v>0</v>
      </c>
      <c r="D41" s="25" t="n">
        <v>0</v>
      </c>
      <c r="E41" s="26">
        <f>B41+C41+D41</f>
        <v/>
      </c>
      <c r="F41" s="27" t="n"/>
      <c r="G41" s="28">
        <f>IF(F41&lt;&gt;"",F41,E41)</f>
        <v/>
      </c>
    </row>
    <row r="42" ht="15" customHeight="1" s="250">
      <c r="A42" s="249" t="inlineStr">
        <is>
          <t>1-1/2"</t>
        </is>
      </c>
      <c r="B42" s="25" t="n">
        <v>0</v>
      </c>
      <c r="C42" s="25" t="n">
        <v>0</v>
      </c>
      <c r="D42" s="25" t="n">
        <v>0</v>
      </c>
      <c r="E42" s="26">
        <f>B42+C42+D42</f>
        <v/>
      </c>
      <c r="F42" s="27" t="n"/>
      <c r="G42" s="28">
        <f>IF(F42&lt;&gt;"",F42,E42)</f>
        <v/>
      </c>
    </row>
    <row r="43" ht="15" customHeight="1" s="250">
      <c r="A43" s="249" t="inlineStr">
        <is>
          <t>1"</t>
        </is>
      </c>
      <c r="B43" s="25" t="n">
        <v>0</v>
      </c>
      <c r="C43" s="25" t="n">
        <v>0</v>
      </c>
      <c r="D43" s="25" t="n">
        <v>0</v>
      </c>
      <c r="E43" s="26">
        <f>B43+C43+D43</f>
        <v/>
      </c>
      <c r="F43" s="27" t="n"/>
      <c r="G43" s="28">
        <f>IF(F43&lt;&gt;"",F43,E43)</f>
        <v/>
      </c>
    </row>
    <row r="44" ht="15" customHeight="1" s="250">
      <c r="A44" s="249" t="inlineStr">
        <is>
          <t>3/4"</t>
        </is>
      </c>
      <c r="B44" s="25" t="n">
        <v>0</v>
      </c>
      <c r="C44" s="25" t="n">
        <v>0</v>
      </c>
      <c r="D44" s="25" t="n">
        <v>0</v>
      </c>
      <c r="E44" s="26">
        <f>B44+C44+D44</f>
        <v/>
      </c>
      <c r="F44" s="27" t="n"/>
      <c r="G44" s="28">
        <f>IF(F44&lt;&gt;"",F44,E44)</f>
        <v/>
      </c>
    </row>
    <row r="45" ht="15" customHeight="1" s="250">
      <c r="A45" s="249" t="inlineStr">
        <is>
          <t>1/2"</t>
        </is>
      </c>
      <c r="B45" s="25" t="n">
        <v>0</v>
      </c>
      <c r="C45" s="25" t="n">
        <v>0</v>
      </c>
      <c r="D45" s="25" t="n">
        <v>0</v>
      </c>
      <c r="E45" s="26">
        <f>B45+C45+D45</f>
        <v/>
      </c>
      <c r="F45" s="27" t="n"/>
      <c r="G45" s="28">
        <f>IF(F45&lt;&gt;"",F45,E45)</f>
        <v/>
      </c>
    </row>
    <row r="46" ht="15" customHeight="1" s="250">
      <c r="A46" s="29" t="inlineStr">
        <is>
          <t>TOTAL AIR LF</t>
        </is>
      </c>
      <c r="B46" s="30">
        <f>SUM(B41:B45)</f>
        <v/>
      </c>
      <c r="C46" s="30">
        <f>SUM(C41:C45)</f>
        <v/>
      </c>
      <c r="D46" s="30">
        <f>SUM(D41:D45)</f>
        <v/>
      </c>
      <c r="E46" s="30">
        <f>SUM(E41:E45)</f>
        <v/>
      </c>
      <c r="F46" s="22" t="n"/>
      <c r="G46" s="30">
        <f>SUM(G41:G45)</f>
        <v/>
      </c>
    </row>
    <row r="47" ht="15.75" customHeight="1" s="250" thickBot="1"/>
    <row r="48" ht="15.75" customHeight="1" s="250" thickBot="1">
      <c r="A48" s="234" t="inlineStr">
        <is>
          <t>CMU BLOCK WALL DROPS — LABOR ADDER</t>
        </is>
      </c>
      <c r="B48" s="61" t="n"/>
      <c r="C48" s="61" t="n"/>
      <c r="D48" s="61" t="n"/>
      <c r="E48" s="61" t="n"/>
      <c r="F48" s="61" t="n"/>
      <c r="G48" s="61" t="n"/>
    </row>
    <row r="49" ht="15.75" customHeight="1" s="250" thickBot="1">
      <c r="A49" s="105" t="inlineStr">
        <is>
          <t>Wall Type (from INPUT)</t>
        </is>
      </c>
      <c r="B49" s="103" t="inlineStr">
        <is>
          <t># of Block Wall Drops</t>
        </is>
      </c>
      <c r="C49" s="103" t="inlineStr">
        <is>
          <t>Avg Hrs / Drop</t>
        </is>
      </c>
      <c r="D49" s="103" t="inlineStr">
        <is>
          <t>Total CMU Labor Hrs</t>
        </is>
      </c>
      <c r="E49" s="103" t="inlineStr">
        <is>
          <t>Total CMU Labor Cost</t>
        </is>
      </c>
      <c r="F49" s="103" t="inlineStr">
        <is>
          <t>Notes</t>
        </is>
      </c>
      <c r="G49" s="104" t="n"/>
    </row>
    <row r="50">
      <c r="A50" s="110">
        <f>INPUT!B18</f>
        <v/>
      </c>
      <c r="B50" s="25" t="n">
        <v>28</v>
      </c>
      <c r="C50" s="198" t="n">
        <v>1.5</v>
      </c>
      <c r="D50" s="106">
        <f>IF(INPUT!B18="CMU Block",B50*C50,0)</f>
        <v/>
      </c>
      <c r="E50" s="257">
        <f>D50*SETTINGS!$B$11</f>
        <v/>
      </c>
      <c r="F50" s="108" t="inlineStr">
        <is>
          <t>Cut/core block, route pipe, patch &amp; grout</t>
        </is>
      </c>
      <c r="G50" s="104" t="n"/>
    </row>
    <row r="51" ht="15.75" customHeight="1" s="250" thickBot="1">
      <c r="A51" s="109" t="n"/>
      <c r="B51" s="109" t="n"/>
      <c r="C51" s="109" t="n"/>
      <c r="D51" s="109" t="n"/>
      <c r="E51" s="109" t="n"/>
      <c r="F51" s="109" t="n"/>
      <c r="G51" s="109" t="n"/>
    </row>
    <row r="52" ht="15.75" customHeight="1" s="250" thickBot="1">
      <c r="A52" s="111" t="inlineStr">
        <is>
          <t>TOTAL CMU DROP ADDER</t>
        </is>
      </c>
      <c r="B52" s="114">
        <f>B50</f>
        <v/>
      </c>
      <c r="C52" s="114" t="n"/>
      <c r="D52" s="115">
        <f>D50</f>
        <v/>
      </c>
      <c r="E52" s="258">
        <f>E50</f>
        <v/>
      </c>
      <c r="F52" s="117" t="inlineStr">
        <is>
          <t>Only applies when Wall Type = CMU Block</t>
        </is>
      </c>
      <c r="G52" s="118" t="n"/>
    </row>
    <row r="54">
      <c r="A54" s="119" t="inlineStr">
        <is>
          <t>ℹ️ Enter # of pipe drops that pass through CMU block walls. Labor adder applies 1.5 hrs/drop for cutting, coring, routing, and patching. Set to 0 if no block wall drops. Only active when INPUT Wall Type = "CMU Block".</t>
        </is>
      </c>
    </row>
  </sheetData>
  <mergeCells count="8">
    <mergeCell ref="A33:I33"/>
    <mergeCell ref="A2:I2"/>
    <mergeCell ref="A14:I14"/>
    <mergeCell ref="A48:G48"/>
    <mergeCell ref="A1:I1"/>
    <mergeCell ref="A39:I39"/>
    <mergeCell ref="A4:I4"/>
    <mergeCell ref="A24:I2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I62"/>
  <sheetViews>
    <sheetView showGridLines="0" topLeftCell="A31" zoomScaleNormal="100" workbookViewId="0">
      <selection activeCell="B3" sqref="B3:C3"/>
    </sheetView>
  </sheetViews>
  <sheetFormatPr baseColWidth="8" defaultColWidth="8.7109375" defaultRowHeight="15"/>
  <cols>
    <col width="28" customWidth="1" style="250" min="1" max="1"/>
    <col width="14" customWidth="1" style="250" min="2" max="6"/>
    <col width="16" customWidth="1" style="250" min="7" max="9"/>
  </cols>
  <sheetData>
    <row r="1" ht="27.75" customHeight="1" s="250">
      <c r="A1" s="223" t="inlineStr">
        <is>
          <t>BARRETT PLUMBING INC. — PIPE SYSTEM ESTIMATE</t>
        </is>
      </c>
      <c r="B1" s="61" t="n"/>
      <c r="C1" s="61" t="n"/>
      <c r="D1" s="61" t="n"/>
      <c r="E1" s="61" t="n"/>
      <c r="F1" s="61" t="n"/>
      <c r="G1" s="61" t="n"/>
      <c r="H1" s="61" t="n"/>
      <c r="I1" s="62" t="n"/>
    </row>
    <row r="2" ht="15" customHeight="1" s="250">
      <c r="A2" s="224" t="inlineStr">
        <is>
          <t>Pipe LF flows from PIPE TAKEOFF sheet. Labor rates from LABOR TABLES. Material costs auto-estimated with supplier quote override.</t>
        </is>
      </c>
    </row>
    <row r="3" ht="15.75" customHeight="1" s="250" thickBot="1">
      <c r="A3" s="98" t="inlineStr">
        <is>
          <t>Hanger Type:</t>
        </is>
      </c>
      <c r="B3" s="238" t="inlineStr">
        <is>
          <t>Single Clevis Hanger</t>
        </is>
      </c>
      <c r="C3" s="259" t="n"/>
    </row>
    <row r="4" ht="19.5" customHeight="1" s="250" thickBot="1">
      <c r="A4" s="233" t="inlineStr">
        <is>
          <t>SECTION 1: DWV — Schedule 40 PVC</t>
        </is>
      </c>
      <c r="B4" s="61" t="n"/>
      <c r="C4" s="61" t="n"/>
      <c r="D4" s="61" t="n"/>
      <c r="E4" s="61" t="n"/>
      <c r="F4" s="61" t="n"/>
      <c r="G4" s="61" t="n"/>
      <c r="H4" s="61" t="n"/>
      <c r="I4" s="62" t="n"/>
    </row>
    <row r="5" ht="38.25" customHeight="1" s="250">
      <c r="A5" s="225" t="inlineStr">
        <is>
          <t>Pipe Size</t>
        </is>
      </c>
      <c r="B5" s="35" t="inlineStr">
        <is>
          <t>Final LF
(from Takeoff)</t>
        </is>
      </c>
      <c r="C5" s="35" t="inlineStr">
        <is>
          <t>Labor Hrs
(Underground)</t>
        </is>
      </c>
      <c r="D5" s="35" t="inlineStr">
        <is>
          <t>Labor Hrs
(In-Wall)</t>
        </is>
      </c>
      <c r="E5" s="35" t="inlineStr">
        <is>
          <t>Labor Hrs
(Ceiling)</t>
        </is>
      </c>
      <c r="F5" s="35" t="inlineStr">
        <is>
          <t>TOTAL Labor Hrs</t>
        </is>
      </c>
      <c r="G5" s="35" t="inlineStr">
        <is>
          <t>TOTAL Labor Cost ($)</t>
        </is>
      </c>
      <c r="H5" s="35" t="inlineStr">
        <is>
          <t>Est. Material Cost ($)</t>
        </is>
      </c>
      <c r="I5" s="35" t="inlineStr">
        <is>
          <t>TOTAL PIPE COST ($)</t>
        </is>
      </c>
    </row>
    <row r="6">
      <c r="A6" s="85" t="inlineStr">
        <is>
          <t>6"</t>
        </is>
      </c>
      <c r="B6" s="86">
        <f>'PIPE TAKEOFF'!G6</f>
        <v/>
      </c>
      <c r="C6" s="87">
        <f>'PIPE TAKEOFF'!B6*'LABOR TABLES'!B6*SETTINGS!$B$17</f>
        <v/>
      </c>
      <c r="D6" s="87">
        <f>'PIPE TAKEOFF'!C6*'LABOR TABLES'!C6*SETTINGS!$B$17</f>
        <v/>
      </c>
      <c r="E6" s="87">
        <f>'PIPE TAKEOFF'!D6*'LABOR TABLES'!D6*SETTINGS!$B$17</f>
        <v/>
      </c>
      <c r="F6" s="87">
        <f>C6+D6+E6</f>
        <v/>
      </c>
      <c r="G6" s="87">
        <f>F6*SETTINGS!$B$11</f>
        <v/>
      </c>
      <c r="H6" s="87">
        <f>'PIPE TAKEOFF'!G6*'LABOR TABLES'!E6</f>
        <v/>
      </c>
      <c r="I6" s="87">
        <f>G6+H6</f>
        <v/>
      </c>
    </row>
    <row r="7" ht="15" customHeight="1" s="250">
      <c r="A7" s="249" t="inlineStr">
        <is>
          <t>4"</t>
        </is>
      </c>
      <c r="B7" s="37">
        <f>'PIPE TAKEOFF'!G7</f>
        <v/>
      </c>
      <c r="C7" s="26">
        <f>'PIPE TAKEOFF'!B7*'LABOR TABLES'!B7*SETTINGS!$B$17</f>
        <v/>
      </c>
      <c r="D7" s="26">
        <f>'PIPE TAKEOFF'!C7*'LABOR TABLES'!C7*SETTINGS!$B$17</f>
        <v/>
      </c>
      <c r="E7" s="26">
        <f>'PIPE TAKEOFF'!D7*'LABOR TABLES'!D7*SETTINGS!$B$17</f>
        <v/>
      </c>
      <c r="F7" s="26">
        <f>C7+D7+E7</f>
        <v/>
      </c>
      <c r="G7" s="31">
        <f>F7*SETTINGS!$B$11</f>
        <v/>
      </c>
      <c r="H7" s="31">
        <f>'PIPE TAKEOFF'!G7*'LABOR TABLES'!E7</f>
        <v/>
      </c>
      <c r="I7" s="31">
        <f>G7+H7</f>
        <v/>
      </c>
    </row>
    <row r="8" ht="15" customHeight="1" s="250">
      <c r="A8" s="249" t="inlineStr">
        <is>
          <t>3"</t>
        </is>
      </c>
      <c r="B8" s="37">
        <f>'PIPE TAKEOFF'!G8</f>
        <v/>
      </c>
      <c r="C8" s="26">
        <f>'PIPE TAKEOFF'!B8*'LABOR TABLES'!B8*SETTINGS!$B$17</f>
        <v/>
      </c>
      <c r="D8" s="26">
        <f>'PIPE TAKEOFF'!C8*'LABOR TABLES'!C8*SETTINGS!$B$17</f>
        <v/>
      </c>
      <c r="E8" s="26">
        <f>'PIPE TAKEOFF'!D8*'LABOR TABLES'!D8*SETTINGS!$B$17</f>
        <v/>
      </c>
      <c r="F8" s="26">
        <f>C8+D8+E8</f>
        <v/>
      </c>
      <c r="G8" s="31">
        <f>F8*SETTINGS!$B$11</f>
        <v/>
      </c>
      <c r="H8" s="31">
        <f>'PIPE TAKEOFF'!G8*'LABOR TABLES'!E8</f>
        <v/>
      </c>
      <c r="I8" s="31">
        <f>G8+H8</f>
        <v/>
      </c>
    </row>
    <row r="9" ht="15" customHeight="1" s="250">
      <c r="A9" s="249" t="inlineStr">
        <is>
          <t>2"</t>
        </is>
      </c>
      <c r="B9" s="37">
        <f>'PIPE TAKEOFF'!G9</f>
        <v/>
      </c>
      <c r="C9" s="26">
        <f>'PIPE TAKEOFF'!B9*'LABOR TABLES'!B11*SETTINGS!$B$17</f>
        <v/>
      </c>
      <c r="D9" s="26">
        <f>'PIPE TAKEOFF'!C9*'LABOR TABLES'!C11*SETTINGS!$B$17</f>
        <v/>
      </c>
      <c r="E9" s="26">
        <f>'PIPE TAKEOFF'!D9*'LABOR TABLES'!D11*SETTINGS!$B$17</f>
        <v/>
      </c>
      <c r="F9" s="26">
        <f>C9+D9+E9</f>
        <v/>
      </c>
      <c r="G9" s="31">
        <f>F9*SETTINGS!$B$11</f>
        <v/>
      </c>
      <c r="H9" s="31">
        <f>'PIPE TAKEOFF'!G9*'LABOR TABLES'!E11</f>
        <v/>
      </c>
      <c r="I9" s="31">
        <f>G9+H9</f>
        <v/>
      </c>
    </row>
    <row r="10" ht="15" customHeight="1" s="250">
      <c r="A10" s="249" t="inlineStr">
        <is>
          <t>1-1/2"</t>
        </is>
      </c>
      <c r="B10" s="37">
        <f>'PIPE TAKEOFF'!G10</f>
        <v/>
      </c>
      <c r="C10" s="26">
        <f>'PIPE TAKEOFF'!B10*'LABOR TABLES'!B12*SETTINGS!$B$17</f>
        <v/>
      </c>
      <c r="D10" s="26">
        <f>'PIPE TAKEOFF'!C10*'LABOR TABLES'!C12*SETTINGS!$B$17</f>
        <v/>
      </c>
      <c r="E10" s="26">
        <f>'PIPE TAKEOFF'!D10*'LABOR TABLES'!D12*SETTINGS!$B$17</f>
        <v/>
      </c>
      <c r="F10" s="26">
        <f>C10+D10+E10</f>
        <v/>
      </c>
      <c r="G10" s="31">
        <f>F10*SETTINGS!$B$11</f>
        <v/>
      </c>
      <c r="H10" s="31">
        <f>'PIPE TAKEOFF'!G10*'LABOR TABLES'!E12</f>
        <v/>
      </c>
      <c r="I10" s="31">
        <f>G10+H10</f>
        <v/>
      </c>
    </row>
    <row r="11" ht="15" customHeight="1" s="250">
      <c r="A11" s="249" t="inlineStr">
        <is>
          <t>1-1/4"</t>
        </is>
      </c>
      <c r="B11" s="37">
        <f>'PIPE TAKEOFF'!G11</f>
        <v/>
      </c>
      <c r="C11" s="26">
        <f>'PIPE TAKEOFF'!B11*'LABOR TABLES'!B13*SETTINGS!$B$17</f>
        <v/>
      </c>
      <c r="D11" s="26">
        <f>'PIPE TAKEOFF'!C11*'LABOR TABLES'!C13*SETTINGS!$B$17</f>
        <v/>
      </c>
      <c r="E11" s="26">
        <f>'PIPE TAKEOFF'!D11*'LABOR TABLES'!D13*SETTINGS!$B$17</f>
        <v/>
      </c>
      <c r="F11" s="26">
        <f>C11+D11+E11</f>
        <v/>
      </c>
      <c r="G11" s="31">
        <f>F11*SETTINGS!$B$11</f>
        <v/>
      </c>
      <c r="H11" s="31">
        <f>'PIPE TAKEOFF'!G11*'LABOR TABLES'!E13</f>
        <v/>
      </c>
      <c r="I11" s="31">
        <f>G11+H11</f>
        <v/>
      </c>
    </row>
    <row r="12" ht="15" customHeight="1" s="250">
      <c r="A12" s="251" t="inlineStr">
        <is>
          <t>SUBTOTAL</t>
        </is>
      </c>
      <c r="B12" s="30">
        <f>SUM(B6:B11)</f>
        <v/>
      </c>
      <c r="C12" s="30">
        <f>SUM(C6:C11)</f>
        <v/>
      </c>
      <c r="D12" s="30">
        <f>SUM(D6:D11)</f>
        <v/>
      </c>
      <c r="E12" s="30">
        <f>SUM(E6:E11)</f>
        <v/>
      </c>
      <c r="F12" s="30">
        <f>SUM(F6:F11)</f>
        <v/>
      </c>
      <c r="G12" s="29">
        <f>SUM(G6:G11)</f>
        <v/>
      </c>
      <c r="H12" s="29">
        <f>SUM(H6:H11)</f>
        <v/>
      </c>
      <c r="I12" s="29">
        <f>SUM(I6:I11)</f>
        <v/>
      </c>
    </row>
    <row r="13" ht="15" customHeight="1" s="250">
      <c r="A13" s="38" t="inlineStr">
        <is>
          <t>⬇ SUPPLIER QUOTE OVERRIDE (optional — overrides material estimate)</t>
        </is>
      </c>
      <c r="H13" s="39" t="n"/>
    </row>
    <row r="14" ht="15" customHeight="1" s="250">
      <c r="A14" s="251" t="inlineStr">
        <is>
          <t>FINAL SECTION COST (labor + material)</t>
        </is>
      </c>
      <c r="I14" s="29">
        <f>IF(H13&lt;&gt;"",G12+H13,I12)</f>
        <v/>
      </c>
    </row>
    <row r="16" ht="19.5" customHeight="1" s="250">
      <c r="A16" s="233" t="inlineStr">
        <is>
          <t>SECTION 2: DOMESTIC WATER SUPPLY (Cold)</t>
        </is>
      </c>
      <c r="B16" s="61" t="n"/>
      <c r="C16" s="61" t="n"/>
      <c r="D16" s="61" t="n"/>
      <c r="E16" s="61" t="n"/>
      <c r="F16" s="61" t="n"/>
      <c r="G16" s="61" t="n"/>
      <c r="H16" s="61" t="n"/>
      <c r="I16" s="62" t="n"/>
    </row>
    <row r="17" ht="38.25" customHeight="1" s="250">
      <c r="A17" s="225" t="inlineStr">
        <is>
          <t>Pipe Size</t>
        </is>
      </c>
      <c r="B17" s="35" t="inlineStr">
        <is>
          <t>Final LF
(from Takeoff)</t>
        </is>
      </c>
      <c r="C17" s="35" t="inlineStr">
        <is>
          <t>Labor Hrs
(Underground)</t>
        </is>
      </c>
      <c r="D17" s="35" t="inlineStr">
        <is>
          <t>Labor Hrs
(In-Wall)</t>
        </is>
      </c>
      <c r="E17" s="35" t="inlineStr">
        <is>
          <t>Labor Hrs
(Ceiling)</t>
        </is>
      </c>
      <c r="F17" s="35" t="inlineStr">
        <is>
          <t>TOTAL Labor Hrs</t>
        </is>
      </c>
      <c r="G17" s="35" t="inlineStr">
        <is>
          <t>TOTAL Labor Cost ($)</t>
        </is>
      </c>
      <c r="H17" s="35" t="inlineStr">
        <is>
          <t>Est. Material Cost ($)</t>
        </is>
      </c>
      <c r="I17" s="35" t="inlineStr">
        <is>
          <t>TOTAL PIPE COST ($)</t>
        </is>
      </c>
    </row>
    <row r="18" ht="15" customHeight="1" s="250">
      <c r="A18" s="249" t="inlineStr">
        <is>
          <t>2"</t>
        </is>
      </c>
      <c r="B18" s="37">
        <f>'PIPE TAKEOFF'!G16</f>
        <v/>
      </c>
      <c r="C18" s="26">
        <f>'PIPE TAKEOFF'!B16*'LABOR TABLES'!M17*SETTINGS!$B$17</f>
        <v/>
      </c>
      <c r="D18" s="26">
        <f>'PIPE TAKEOFF'!C16*'LABOR TABLES'!N17*SETTINGS!$B$17</f>
        <v/>
      </c>
      <c r="E18" s="26">
        <f>'PIPE TAKEOFF'!D16*'LABOR TABLES'!O17*SETTINGS!$B$17</f>
        <v/>
      </c>
      <c r="F18" s="26">
        <f>C18+D18+E18</f>
        <v/>
      </c>
      <c r="G18" s="31">
        <f>F18*SETTINGS!$B$11</f>
        <v/>
      </c>
      <c r="H18" s="31">
        <f>'PIPE TAKEOFF'!G16*'LABOR TABLES'!P17</f>
        <v/>
      </c>
      <c r="I18" s="31">
        <f>G18+H18</f>
        <v/>
      </c>
    </row>
    <row r="19" ht="15" customHeight="1" s="250">
      <c r="A19" s="249" t="inlineStr">
        <is>
          <t>1-1/2"</t>
        </is>
      </c>
      <c r="B19" s="37">
        <f>'PIPE TAKEOFF'!G17</f>
        <v/>
      </c>
      <c r="C19" s="26">
        <f>'PIPE TAKEOFF'!B17*'LABOR TABLES'!M18*SETTINGS!$B$17</f>
        <v/>
      </c>
      <c r="D19" s="26">
        <f>'PIPE TAKEOFF'!C17*'LABOR TABLES'!N18*SETTINGS!$B$17</f>
        <v/>
      </c>
      <c r="E19" s="26">
        <f>'PIPE TAKEOFF'!D17*'LABOR TABLES'!O18*SETTINGS!$B$17</f>
        <v/>
      </c>
      <c r="F19" s="26">
        <f>C19+D19+E19</f>
        <v/>
      </c>
      <c r="G19" s="31">
        <f>F19*SETTINGS!$B$11</f>
        <v/>
      </c>
      <c r="H19" s="31">
        <f>'PIPE TAKEOFF'!G17*'LABOR TABLES'!P18</f>
        <v/>
      </c>
      <c r="I19" s="31">
        <f>G19+H19</f>
        <v/>
      </c>
    </row>
    <row r="20" ht="15" customHeight="1" s="250">
      <c r="A20" s="249" t="inlineStr">
        <is>
          <t>1-1/4"</t>
        </is>
      </c>
      <c r="B20" s="37">
        <f>'PIPE TAKEOFF'!G18</f>
        <v/>
      </c>
      <c r="C20" s="26">
        <f>'PIPE TAKEOFF'!B18*'LABOR TABLES'!M19*SETTINGS!$B$17</f>
        <v/>
      </c>
      <c r="D20" s="26">
        <f>'PIPE TAKEOFF'!C18*'LABOR TABLES'!N19*SETTINGS!$B$17</f>
        <v/>
      </c>
      <c r="E20" s="26">
        <f>'PIPE TAKEOFF'!D18*'LABOR TABLES'!O19*SETTINGS!$B$17</f>
        <v/>
      </c>
      <c r="F20" s="26">
        <f>C20+D20+E20</f>
        <v/>
      </c>
      <c r="G20" s="31">
        <f>F20*SETTINGS!$B$11</f>
        <v/>
      </c>
      <c r="H20" s="31">
        <f>'PIPE TAKEOFF'!G18*'LABOR TABLES'!P19</f>
        <v/>
      </c>
      <c r="I20" s="31">
        <f>G20+H20</f>
        <v/>
      </c>
    </row>
    <row r="21" ht="15" customHeight="1" s="250">
      <c r="A21" s="249" t="inlineStr">
        <is>
          <t>1"</t>
        </is>
      </c>
      <c r="B21" s="37">
        <f>'PIPE TAKEOFF'!G19</f>
        <v/>
      </c>
      <c r="C21" s="26">
        <f>'PIPE TAKEOFF'!B19*'LABOR TABLES'!M20*SETTINGS!$B$17</f>
        <v/>
      </c>
      <c r="D21" s="26">
        <f>'PIPE TAKEOFF'!C19*'LABOR TABLES'!N20*SETTINGS!$B$17</f>
        <v/>
      </c>
      <c r="E21" s="26">
        <f>'PIPE TAKEOFF'!D19*'LABOR TABLES'!O20*SETTINGS!$B$17</f>
        <v/>
      </c>
      <c r="F21" s="26">
        <f>C21+D21+E21</f>
        <v/>
      </c>
      <c r="G21" s="31">
        <f>F21*SETTINGS!$B$11</f>
        <v/>
      </c>
      <c r="H21" s="31">
        <f>'PIPE TAKEOFF'!G19*'LABOR TABLES'!P20</f>
        <v/>
      </c>
      <c r="I21" s="31">
        <f>G21+H21</f>
        <v/>
      </c>
    </row>
    <row r="22" ht="15" customHeight="1" s="250">
      <c r="A22" s="249" t="inlineStr">
        <is>
          <t>3/4"</t>
        </is>
      </c>
      <c r="B22" s="37">
        <f>'PIPE TAKEOFF'!G20</f>
        <v/>
      </c>
      <c r="C22" s="26">
        <f>'PIPE TAKEOFF'!B20*'LABOR TABLES'!M21*SETTINGS!$B$17</f>
        <v/>
      </c>
      <c r="D22" s="26">
        <f>'PIPE TAKEOFF'!C20*'LABOR TABLES'!N21*SETTINGS!$B$17</f>
        <v/>
      </c>
      <c r="E22" s="26">
        <f>'PIPE TAKEOFF'!D20*'LABOR TABLES'!O21*SETTINGS!$B$17</f>
        <v/>
      </c>
      <c r="F22" s="26">
        <f>C22+D22+E22</f>
        <v/>
      </c>
      <c r="G22" s="31">
        <f>F22*SETTINGS!$B$11</f>
        <v/>
      </c>
      <c r="H22" s="31">
        <f>'PIPE TAKEOFF'!G20*'LABOR TABLES'!P21</f>
        <v/>
      </c>
      <c r="I22" s="31">
        <f>G22+H22</f>
        <v/>
      </c>
    </row>
    <row r="23" ht="15" customHeight="1" s="250">
      <c r="A23" s="249" t="inlineStr">
        <is>
          <t>1/2"</t>
        </is>
      </c>
      <c r="B23" s="37">
        <f>'PIPE TAKEOFF'!G21</f>
        <v/>
      </c>
      <c r="C23" s="26">
        <f>'PIPE TAKEOFF'!B21*'LABOR TABLES'!M22*SETTINGS!$B$17</f>
        <v/>
      </c>
      <c r="D23" s="26">
        <f>'PIPE TAKEOFF'!C21*'LABOR TABLES'!N22*SETTINGS!$B$17</f>
        <v/>
      </c>
      <c r="E23" s="26">
        <f>'PIPE TAKEOFF'!D21*'LABOR TABLES'!O22*SETTINGS!$B$17</f>
        <v/>
      </c>
      <c r="F23" s="26">
        <f>C23+D23+E23</f>
        <v/>
      </c>
      <c r="G23" s="31">
        <f>F23*SETTINGS!$B$11</f>
        <v/>
      </c>
      <c r="H23" s="31">
        <f>'PIPE TAKEOFF'!G21*'LABOR TABLES'!P22</f>
        <v/>
      </c>
      <c r="I23" s="31">
        <f>G23+H23</f>
        <v/>
      </c>
    </row>
    <row r="24" ht="15" customHeight="1" s="250">
      <c r="A24" s="251" t="inlineStr">
        <is>
          <t>SUBTOTAL</t>
        </is>
      </c>
      <c r="B24" s="30">
        <f>SUM(B18:B23)</f>
        <v/>
      </c>
      <c r="C24" s="30">
        <f>SUM(C18:C23)</f>
        <v/>
      </c>
      <c r="D24" s="30">
        <f>SUM(D18:D23)</f>
        <v/>
      </c>
      <c r="E24" s="30">
        <f>SUM(E18:E23)</f>
        <v/>
      </c>
      <c r="F24" s="30">
        <f>SUM(F18:F23)</f>
        <v/>
      </c>
      <c r="G24" s="29">
        <f>SUM(G18:G23)</f>
        <v/>
      </c>
      <c r="H24" s="29">
        <f>SUM(H18:H23)</f>
        <v/>
      </c>
      <c r="I24" s="29">
        <f>SUM(I18:I23)</f>
        <v/>
      </c>
    </row>
    <row r="25" ht="15" customHeight="1" s="250">
      <c r="A25" s="38" t="inlineStr">
        <is>
          <t>⬇ SUPPLIER QUOTE OVERRIDE (optional — overrides material estimate)</t>
        </is>
      </c>
      <c r="H25" s="39" t="n"/>
    </row>
    <row r="26" ht="15" customHeight="1" s="250">
      <c r="A26" s="251" t="inlineStr">
        <is>
          <t>FINAL SECTION COST (labor + material)</t>
        </is>
      </c>
      <c r="I26" s="29">
        <f>IF(H25&lt;&gt;"",G24+H25,I24)</f>
        <v/>
      </c>
    </row>
    <row r="28" ht="19.5" customHeight="1" s="250">
      <c r="A28" s="233" t="inlineStr">
        <is>
          <t>SECTION 3: DOMESTIC WATER SUPPLY (Hot)</t>
        </is>
      </c>
      <c r="B28" s="61" t="n"/>
      <c r="C28" s="61" t="n"/>
      <c r="D28" s="61" t="n"/>
      <c r="E28" s="61" t="n"/>
      <c r="F28" s="61" t="n"/>
      <c r="G28" s="61" t="n"/>
      <c r="H28" s="61" t="n"/>
      <c r="I28" s="62" t="n"/>
    </row>
    <row r="29" ht="38.25" customHeight="1" s="250">
      <c r="A29" s="225" t="inlineStr">
        <is>
          <t>Pipe Size</t>
        </is>
      </c>
      <c r="B29" s="35" t="inlineStr">
        <is>
          <t>Final LF
(from Takeoff)</t>
        </is>
      </c>
      <c r="C29" s="35" t="inlineStr">
        <is>
          <t>Labor Hrs
(Underground)</t>
        </is>
      </c>
      <c r="D29" s="35" t="inlineStr">
        <is>
          <t>Labor Hrs
(In-Wall)</t>
        </is>
      </c>
      <c r="E29" s="35" t="inlineStr">
        <is>
          <t>Labor Hrs
(Ceiling)</t>
        </is>
      </c>
      <c r="F29" s="35" t="inlineStr">
        <is>
          <t>TOTAL Labor Hrs</t>
        </is>
      </c>
      <c r="G29" s="35" t="inlineStr">
        <is>
          <t>TOTAL Labor Cost ($)</t>
        </is>
      </c>
      <c r="H29" s="35" t="inlineStr">
        <is>
          <t>Est. Material Cost ($)</t>
        </is>
      </c>
      <c r="I29" s="35" t="inlineStr">
        <is>
          <t>TOTAL PIPE COST ($)</t>
        </is>
      </c>
    </row>
    <row r="30" ht="15" customHeight="1" s="250">
      <c r="A30" s="249" t="inlineStr">
        <is>
          <t>1-1/2"</t>
        </is>
      </c>
      <c r="B30" s="37">
        <f>'PIPE TAKEOFF'!G26</f>
        <v/>
      </c>
      <c r="C30" s="26">
        <f>'PIPE TAKEOFF'!B26*'LABOR TABLES'!M18*SETTINGS!$B$17</f>
        <v/>
      </c>
      <c r="D30" s="26">
        <f>'PIPE TAKEOFF'!C26*'LABOR TABLES'!N18*SETTINGS!$B$17</f>
        <v/>
      </c>
      <c r="E30" s="26">
        <f>'PIPE TAKEOFF'!D26*'LABOR TABLES'!O18*SETTINGS!$B$17</f>
        <v/>
      </c>
      <c r="F30" s="26">
        <f>C30+D30+E30</f>
        <v/>
      </c>
      <c r="G30" s="31">
        <f>F30*SETTINGS!$B$11</f>
        <v/>
      </c>
      <c r="H30" s="31">
        <f>'PIPE TAKEOFF'!G26*'LABOR TABLES'!P18</f>
        <v/>
      </c>
      <c r="I30" s="31">
        <f>G30+H30</f>
        <v/>
      </c>
    </row>
    <row r="31" ht="15" customHeight="1" s="250">
      <c r="A31" s="249" t="inlineStr">
        <is>
          <t>1-1/4"</t>
        </is>
      </c>
      <c r="B31" s="37">
        <f>'PIPE TAKEOFF'!G27</f>
        <v/>
      </c>
      <c r="C31" s="26">
        <f>'PIPE TAKEOFF'!B27*'LABOR TABLES'!M19*SETTINGS!$B$17</f>
        <v/>
      </c>
      <c r="D31" s="26">
        <f>'PIPE TAKEOFF'!C27*'LABOR TABLES'!N19*SETTINGS!$B$17</f>
        <v/>
      </c>
      <c r="E31" s="26">
        <f>'PIPE TAKEOFF'!D27*'LABOR TABLES'!O19*SETTINGS!$B$17</f>
        <v/>
      </c>
      <c r="F31" s="26">
        <f>C31+D31+E31</f>
        <v/>
      </c>
      <c r="G31" s="31">
        <f>F31*SETTINGS!$B$11</f>
        <v/>
      </c>
      <c r="H31" s="31">
        <f>'PIPE TAKEOFF'!G27*'LABOR TABLES'!P19</f>
        <v/>
      </c>
      <c r="I31" s="31">
        <f>G31+H31</f>
        <v/>
      </c>
    </row>
    <row r="32" ht="15" customHeight="1" s="250">
      <c r="A32" s="249" t="inlineStr">
        <is>
          <t>1"</t>
        </is>
      </c>
      <c r="B32" s="37">
        <f>'PIPE TAKEOFF'!G28</f>
        <v/>
      </c>
      <c r="C32" s="26">
        <f>'PIPE TAKEOFF'!B28*'LABOR TABLES'!M20*SETTINGS!$B$17</f>
        <v/>
      </c>
      <c r="D32" s="26">
        <f>'PIPE TAKEOFF'!C28*'LABOR TABLES'!N20*SETTINGS!$B$17</f>
        <v/>
      </c>
      <c r="E32" s="26">
        <f>'PIPE TAKEOFF'!D28*'LABOR TABLES'!O20*SETTINGS!$B$17</f>
        <v/>
      </c>
      <c r="F32" s="26">
        <f>C32+D32+E32</f>
        <v/>
      </c>
      <c r="G32" s="31">
        <f>F32*SETTINGS!$B$11</f>
        <v/>
      </c>
      <c r="H32" s="31">
        <f>'PIPE TAKEOFF'!G28*'LABOR TABLES'!P20</f>
        <v/>
      </c>
      <c r="I32" s="31">
        <f>G32+H32</f>
        <v/>
      </c>
    </row>
    <row r="33" ht="15" customHeight="1" s="250">
      <c r="A33" s="249" t="inlineStr">
        <is>
          <t>3/4"</t>
        </is>
      </c>
      <c r="B33" s="37">
        <f>'PIPE TAKEOFF'!G29</f>
        <v/>
      </c>
      <c r="C33" s="26">
        <f>'PIPE TAKEOFF'!B29*'LABOR TABLES'!M21*SETTINGS!$B$17</f>
        <v/>
      </c>
      <c r="D33" s="26">
        <f>'PIPE TAKEOFF'!C29*'LABOR TABLES'!N21*SETTINGS!$B$17</f>
        <v/>
      </c>
      <c r="E33" s="26">
        <f>'PIPE TAKEOFF'!D29*'LABOR TABLES'!O21*SETTINGS!$B$17</f>
        <v/>
      </c>
      <c r="F33" s="26">
        <f>C33+D33+E33</f>
        <v/>
      </c>
      <c r="G33" s="31">
        <f>F33*SETTINGS!$B$11</f>
        <v/>
      </c>
      <c r="H33" s="31">
        <f>'PIPE TAKEOFF'!G29*'LABOR TABLES'!P21</f>
        <v/>
      </c>
      <c r="I33" s="31">
        <f>G33+H33</f>
        <v/>
      </c>
    </row>
    <row r="34" ht="15" customHeight="1" s="250">
      <c r="A34" s="249" t="inlineStr">
        <is>
          <t>1/2"</t>
        </is>
      </c>
      <c r="B34" s="37">
        <f>'PIPE TAKEOFF'!G30</f>
        <v/>
      </c>
      <c r="C34" s="26">
        <f>'PIPE TAKEOFF'!B30*'LABOR TABLES'!M22*SETTINGS!$B$17</f>
        <v/>
      </c>
      <c r="D34" s="26">
        <f>'PIPE TAKEOFF'!C30*'LABOR TABLES'!N22*SETTINGS!$B$17</f>
        <v/>
      </c>
      <c r="E34" s="26">
        <f>'PIPE TAKEOFF'!D30*'LABOR TABLES'!O22*SETTINGS!$B$17</f>
        <v/>
      </c>
      <c r="F34" s="26">
        <f>C34+D34+E34</f>
        <v/>
      </c>
      <c r="G34" s="31">
        <f>F34*SETTINGS!$B$11</f>
        <v/>
      </c>
      <c r="H34" s="31">
        <f>'PIPE TAKEOFF'!G30*'LABOR TABLES'!P22</f>
        <v/>
      </c>
      <c r="I34" s="31">
        <f>G34+H34</f>
        <v/>
      </c>
    </row>
    <row r="35" ht="15" customHeight="1" s="250">
      <c r="A35" s="251" t="inlineStr">
        <is>
          <t>SUBTOTAL</t>
        </is>
      </c>
      <c r="B35" s="30">
        <f>SUM(B30:B34)</f>
        <v/>
      </c>
      <c r="C35" s="30">
        <f>SUM(C30:C34)</f>
        <v/>
      </c>
      <c r="D35" s="30">
        <f>SUM(D30:D34)</f>
        <v/>
      </c>
      <c r="E35" s="30">
        <f>SUM(E30:E34)</f>
        <v/>
      </c>
      <c r="F35" s="30">
        <f>SUM(F30:F34)</f>
        <v/>
      </c>
      <c r="G35" s="29">
        <f>SUM(G30:G34)</f>
        <v/>
      </c>
      <c r="H35" s="29">
        <f>SUM(H30:H34)</f>
        <v/>
      </c>
      <c r="I35" s="29">
        <f>SUM(I30:I34)</f>
        <v/>
      </c>
    </row>
    <row r="36" ht="15" customHeight="1" s="250">
      <c r="A36" s="38" t="inlineStr">
        <is>
          <t>⬇ SUPPLIER QUOTE OVERRIDE (optional — overrides material estimate)</t>
        </is>
      </c>
      <c r="H36" s="39" t="n"/>
    </row>
    <row r="37" ht="15" customHeight="1" s="250">
      <c r="A37" s="251" t="inlineStr">
        <is>
          <t>FINAL SECTION COST (labor + material)</t>
        </is>
      </c>
      <c r="I37" s="29">
        <f>IF(H36&lt;&gt;"",G35+H36,I35)</f>
        <v/>
      </c>
    </row>
    <row r="39" ht="19.5" customHeight="1" s="250">
      <c r="A39" s="233" t="inlineStr">
        <is>
          <t>SECTION 4: COMPRESSED AIR — Black Iron</t>
        </is>
      </c>
      <c r="B39" s="61" t="n"/>
      <c r="C39" s="61" t="n"/>
      <c r="D39" s="61" t="n"/>
      <c r="E39" s="61" t="n"/>
      <c r="F39" s="61" t="n"/>
      <c r="G39" s="61" t="n"/>
      <c r="H39" s="61" t="n"/>
      <c r="I39" s="62" t="n"/>
    </row>
    <row r="40" ht="38.25" customHeight="1" s="250">
      <c r="A40" s="225" t="inlineStr">
        <is>
          <t>Pipe Size</t>
        </is>
      </c>
      <c r="B40" s="35" t="inlineStr">
        <is>
          <t>Final LF
(from Takeoff)</t>
        </is>
      </c>
      <c r="C40" s="35" t="inlineStr">
        <is>
          <t>Labor Hrs
(Underground)</t>
        </is>
      </c>
      <c r="D40" s="35" t="inlineStr">
        <is>
          <t>Labor Hrs
(In-Wall)</t>
        </is>
      </c>
      <c r="E40" s="35" t="inlineStr">
        <is>
          <t>Labor Hrs
(Ceiling)</t>
        </is>
      </c>
      <c r="F40" s="35" t="inlineStr">
        <is>
          <t>TOTAL Labor Hrs</t>
        </is>
      </c>
      <c r="G40" s="35" t="inlineStr">
        <is>
          <t>TOTAL Labor Cost ($)</t>
        </is>
      </c>
      <c r="H40" s="35" t="inlineStr">
        <is>
          <t>Est. Material Cost ($)</t>
        </is>
      </c>
      <c r="I40" s="35" t="inlineStr">
        <is>
          <t>TOTAL PIPE COST ($)</t>
        </is>
      </c>
    </row>
    <row r="41" ht="15" customHeight="1" s="250">
      <c r="A41" s="249" t="inlineStr">
        <is>
          <t>2"</t>
        </is>
      </c>
      <c r="B41" s="37">
        <f>'PIPE TAKEOFF'!G41</f>
        <v/>
      </c>
      <c r="C41" s="26">
        <f>'PIPE TAKEOFF'!B41*'LABOR TABLES'!B42*SETTINGS!$B$17</f>
        <v/>
      </c>
      <c r="D41" s="26">
        <f>'PIPE TAKEOFF'!C41*'LABOR TABLES'!C42*SETTINGS!$B$17</f>
        <v/>
      </c>
      <c r="E41" s="26">
        <f>'PIPE TAKEOFF'!D41*'LABOR TABLES'!D42*SETTINGS!$B$17</f>
        <v/>
      </c>
      <c r="F41" s="26">
        <f>C41+D41+E41</f>
        <v/>
      </c>
      <c r="G41" s="31">
        <f>F41*SETTINGS!$B$11</f>
        <v/>
      </c>
      <c r="H41" s="31">
        <f>'PIPE TAKEOFF'!G41*'LABOR TABLES'!E42</f>
        <v/>
      </c>
      <c r="I41" s="31">
        <f>G41+H41</f>
        <v/>
      </c>
    </row>
    <row r="42" ht="15" customHeight="1" s="250">
      <c r="A42" s="249" t="inlineStr">
        <is>
          <t>1-1/2"</t>
        </is>
      </c>
      <c r="B42" s="37">
        <f>'PIPE TAKEOFF'!G42</f>
        <v/>
      </c>
      <c r="C42" s="26">
        <f>'PIPE TAKEOFF'!B42*'LABOR TABLES'!B43*SETTINGS!$B$17</f>
        <v/>
      </c>
      <c r="D42" s="26">
        <f>'PIPE TAKEOFF'!C42*'LABOR TABLES'!C43*SETTINGS!$B$17</f>
        <v/>
      </c>
      <c r="E42" s="26">
        <f>'PIPE TAKEOFF'!D42*'LABOR TABLES'!D43*SETTINGS!$B$17</f>
        <v/>
      </c>
      <c r="F42" s="26">
        <f>C42+D42+E42</f>
        <v/>
      </c>
      <c r="G42" s="31">
        <f>F42*SETTINGS!$B$11</f>
        <v/>
      </c>
      <c r="H42" s="31">
        <f>'PIPE TAKEOFF'!G42*'LABOR TABLES'!E43</f>
        <v/>
      </c>
      <c r="I42" s="31">
        <f>G42+H42</f>
        <v/>
      </c>
    </row>
    <row r="43" ht="15" customHeight="1" s="250">
      <c r="A43" s="249" t="inlineStr">
        <is>
          <t>1"</t>
        </is>
      </c>
      <c r="B43" s="37">
        <f>'PIPE TAKEOFF'!G43</f>
        <v/>
      </c>
      <c r="C43" s="26">
        <f>'PIPE TAKEOFF'!B43*'LABOR TABLES'!B48*SETTINGS!$B$17</f>
        <v/>
      </c>
      <c r="D43" s="26">
        <f>'PIPE TAKEOFF'!C43*'LABOR TABLES'!C48*SETTINGS!$B$17</f>
        <v/>
      </c>
      <c r="E43" s="26">
        <f>'PIPE TAKEOFF'!D43*'LABOR TABLES'!D48*SETTINGS!$B$17</f>
        <v/>
      </c>
      <c r="F43" s="26">
        <f>C43+D43+E43</f>
        <v/>
      </c>
      <c r="G43" s="31">
        <f>F43*SETTINGS!$B$11</f>
        <v/>
      </c>
      <c r="H43" s="31">
        <f>'PIPE TAKEOFF'!G43*'LABOR TABLES'!E48</f>
        <v/>
      </c>
      <c r="I43" s="31">
        <f>G43+H43</f>
        <v/>
      </c>
    </row>
    <row r="44" ht="15" customHeight="1" s="250">
      <c r="A44" s="249" t="inlineStr">
        <is>
          <t>3/4"</t>
        </is>
      </c>
      <c r="B44" s="37">
        <f>'PIPE TAKEOFF'!G44</f>
        <v/>
      </c>
      <c r="C44" s="26">
        <f>'PIPE TAKEOFF'!B44*'LABOR TABLES'!B49*SETTINGS!$B$17</f>
        <v/>
      </c>
      <c r="D44" s="26">
        <f>'PIPE TAKEOFF'!C44*'LABOR TABLES'!C49*SETTINGS!$B$17</f>
        <v/>
      </c>
      <c r="E44" s="26">
        <f>'PIPE TAKEOFF'!D44*'LABOR TABLES'!D49*SETTINGS!$B$17</f>
        <v/>
      </c>
      <c r="F44" s="26">
        <f>C44+D44+E44</f>
        <v/>
      </c>
      <c r="G44" s="31">
        <f>F44*SETTINGS!$B$11</f>
        <v/>
      </c>
      <c r="H44" s="31">
        <f>'PIPE TAKEOFF'!G44*'LABOR TABLES'!E49</f>
        <v/>
      </c>
      <c r="I44" s="31">
        <f>G44+H44</f>
        <v/>
      </c>
    </row>
    <row r="45" ht="15" customHeight="1" s="250">
      <c r="A45" s="249" t="inlineStr">
        <is>
          <t>1/2"</t>
        </is>
      </c>
      <c r="B45" s="37">
        <f>'PIPE TAKEOFF'!G45</f>
        <v/>
      </c>
      <c r="C45" s="26">
        <f>'PIPE TAKEOFF'!B45*'LABOR TABLES'!B50*SETTINGS!$B$17</f>
        <v/>
      </c>
      <c r="D45" s="26">
        <f>'PIPE TAKEOFF'!C45*'LABOR TABLES'!C50*SETTINGS!$B$17</f>
        <v/>
      </c>
      <c r="E45" s="26">
        <f>'PIPE TAKEOFF'!D45*'LABOR TABLES'!D50*SETTINGS!$B$17</f>
        <v/>
      </c>
      <c r="F45" s="26">
        <f>C45+D45+E45</f>
        <v/>
      </c>
      <c r="G45" s="31">
        <f>F45*SETTINGS!$B$11</f>
        <v/>
      </c>
      <c r="H45" s="31">
        <f>'PIPE TAKEOFF'!G45*'LABOR TABLES'!E50</f>
        <v/>
      </c>
      <c r="I45" s="31">
        <f>G45+H45</f>
        <v/>
      </c>
    </row>
    <row r="46" ht="15" customHeight="1" s="250">
      <c r="A46" s="251" t="inlineStr">
        <is>
          <t>SUBTOTAL</t>
        </is>
      </c>
      <c r="B46" s="30">
        <f>SUM(B41:B45)</f>
        <v/>
      </c>
      <c r="C46" s="30">
        <f>SUM(C41:C45)</f>
        <v/>
      </c>
      <c r="D46" s="30">
        <f>SUM(D41:D45)</f>
        <v/>
      </c>
      <c r="E46" s="30">
        <f>SUM(E41:E45)</f>
        <v/>
      </c>
      <c r="F46" s="30">
        <f>SUM(F41:F45)</f>
        <v/>
      </c>
      <c r="G46" s="29">
        <f>SUM(G41:G45)</f>
        <v/>
      </c>
      <c r="H46" s="29">
        <f>SUM(H41:H45)</f>
        <v/>
      </c>
      <c r="I46" s="29">
        <f>SUM(I41:I45)</f>
        <v/>
      </c>
    </row>
    <row r="47" ht="15" customHeight="1" s="250">
      <c r="A47" s="38" t="inlineStr">
        <is>
          <t>⬇ SUPPLIER QUOTE OVERRIDE (optional — overrides material estimate)</t>
        </is>
      </c>
      <c r="H47" s="39" t="n"/>
    </row>
    <row r="48" ht="15" customHeight="1" s="250">
      <c r="A48" s="251" t="inlineStr">
        <is>
          <t>FINAL SECTION COST (labor + material)</t>
        </is>
      </c>
      <c r="I48" s="29">
        <f>IF(H47&lt;&gt;"",G46+H47,I46)</f>
        <v/>
      </c>
    </row>
    <row r="49" ht="15.75" customHeight="1" s="250" thickBot="1"/>
    <row r="50" ht="15.75" customHeight="1" s="250" thickBot="1">
      <c r="A50" s="100" t="inlineStr">
        <is>
          <t>SECTION 5: CMU BLOCK WALL DROP ADDER</t>
        </is>
      </c>
      <c r="B50" s="260" t="n"/>
      <c r="C50" s="260" t="n"/>
      <c r="D50" s="260" t="n"/>
      <c r="E50" s="260" t="n"/>
      <c r="F50" s="260" t="n"/>
      <c r="G50" s="260" t="n"/>
      <c r="H50" s="260" t="n"/>
      <c r="I50" s="260" t="n"/>
    </row>
    <row r="51" ht="27" customHeight="1" s="250" thickBot="1">
      <c r="A51" s="103" t="inlineStr">
        <is>
          <t>Item</t>
        </is>
      </c>
      <c r="B51" s="120" t="inlineStr">
        <is>
          <t># Drops
(from Takeoff)</t>
        </is>
      </c>
      <c r="F51" s="103" t="inlineStr">
        <is>
          <t>TOTAL Labor Hrs</t>
        </is>
      </c>
      <c r="G51" s="103" t="inlineStr">
        <is>
          <t>TOTAL Labor Cost ($)</t>
        </is>
      </c>
      <c r="I51" s="103" t="inlineStr">
        <is>
          <t>TOTAL COST ($)</t>
        </is>
      </c>
    </row>
    <row r="52" ht="15.75" customHeight="1" s="250" thickBot="1">
      <c r="A52" s="123" t="inlineStr">
        <is>
          <t>Block Wall Drops</t>
        </is>
      </c>
      <c r="B52" s="121">
        <f>'PIPE TAKEOFF'!B50</f>
        <v/>
      </c>
      <c r="C52" s="122" t="n"/>
      <c r="D52" s="104" t="n"/>
      <c r="E52" s="104" t="n"/>
      <c r="F52" s="106">
        <f>'PIPE TAKEOFF'!D52*SETTINGS!$B$17</f>
        <v/>
      </c>
      <c r="G52" s="106">
        <f>F52*SETTINGS!$B$11</f>
        <v/>
      </c>
      <c r="H52" s="122" t="n"/>
      <c r="I52" s="124">
        <f>G52</f>
        <v/>
      </c>
    </row>
    <row r="53" ht="15.75" customHeight="1" s="250" thickBot="1">
      <c r="A53" s="125" t="inlineStr">
        <is>
          <t>SUBTOTAL</t>
        </is>
      </c>
      <c r="B53" s="115">
        <f>B52</f>
        <v/>
      </c>
      <c r="C53" s="118" t="n"/>
      <c r="D53" s="118" t="n"/>
      <c r="E53" s="118" t="n"/>
      <c r="F53" s="113">
        <f>F52</f>
        <v/>
      </c>
      <c r="G53" s="113">
        <f>G52</f>
        <v/>
      </c>
      <c r="H53" s="118" t="n"/>
      <c r="I53" s="112">
        <f>I52</f>
        <v/>
      </c>
    </row>
    <row r="54" ht="15.75" customHeight="1" s="250" thickBot="1">
      <c r="A54" s="125" t="inlineStr">
        <is>
          <t>FINAL SECTION COST (labor only — no material)</t>
        </is>
      </c>
      <c r="I54" s="113">
        <f>I53</f>
        <v/>
      </c>
    </row>
    <row r="56" ht="19.5" customHeight="1" s="250">
      <c r="A56" s="233" t="inlineStr">
        <is>
          <t>SECTION 6: HOT WATER RECIRCULATION</t>
        </is>
      </c>
      <c r="B56" s="61" t="n"/>
      <c r="C56" s="61" t="n"/>
      <c r="D56" s="61" t="n"/>
      <c r="E56" s="61" t="n"/>
      <c r="F56" s="61" t="n"/>
      <c r="G56" s="61" t="n"/>
      <c r="H56" s="61" t="n"/>
      <c r="I56" s="62" t="n"/>
    </row>
    <row r="57" ht="38.25" customHeight="1" s="250">
      <c r="A57" s="225" t="inlineStr">
        <is>
          <t>Pipe Size</t>
        </is>
      </c>
      <c r="B57" s="35" t="inlineStr">
        <is>
          <t>Final LF
(from Takeoff)</t>
        </is>
      </c>
      <c r="C57" s="35" t="inlineStr">
        <is>
          <t>Labor Hrs
(Underground)</t>
        </is>
      </c>
      <c r="D57" s="35" t="inlineStr">
        <is>
          <t>Labor Hrs
(In-Wall)</t>
        </is>
      </c>
      <c r="E57" s="35" t="inlineStr">
        <is>
          <t>Labor Hrs
(Ceiling)</t>
        </is>
      </c>
      <c r="F57" s="35" t="inlineStr">
        <is>
          <t>TOTAL Labor Hrs</t>
        </is>
      </c>
      <c r="G57" s="35" t="inlineStr">
        <is>
          <t>TOTAL Labor Cost ($)</t>
        </is>
      </c>
      <c r="H57" s="35" t="inlineStr">
        <is>
          <t>Est. Material Cost ($)</t>
        </is>
      </c>
      <c r="I57" s="35" t="inlineStr">
        <is>
          <t>TOTAL PIPE COST ($)</t>
        </is>
      </c>
    </row>
    <row r="58" ht="15" customHeight="1" s="250">
      <c r="A58" s="249" t="inlineStr">
        <is>
          <t>3/4"</t>
        </is>
      </c>
      <c r="B58" s="37">
        <f>'PIPE TAKEOFF'!G35</f>
        <v/>
      </c>
      <c r="C58" s="26">
        <f>'PIPE TAKEOFF'!B35*'LABOR TABLES'!M21*SETTINGS!$B$17</f>
        <v/>
      </c>
      <c r="D58" s="26">
        <f>'PIPE TAKEOFF'!C35*'LABOR TABLES'!N21*SETTINGS!$B$17</f>
        <v/>
      </c>
      <c r="E58" s="26">
        <f>'PIPE TAKEOFF'!D35*'LABOR TABLES'!O21*SETTINGS!$B$17</f>
        <v/>
      </c>
      <c r="F58" s="26">
        <f>C58+D58+E58</f>
        <v/>
      </c>
      <c r="G58" s="31">
        <f>F58*SETTINGS!$B$11</f>
        <v/>
      </c>
      <c r="H58" s="31">
        <f>'PIPE TAKEOFF'!G35*'LABOR TABLES'!P21</f>
        <v/>
      </c>
      <c r="I58" s="31">
        <f>G58+H58</f>
        <v/>
      </c>
    </row>
    <row r="59" ht="15" customHeight="1" s="250">
      <c r="A59" s="249" t="inlineStr">
        <is>
          <t>1/2"</t>
        </is>
      </c>
      <c r="B59" s="37">
        <f>'PIPE TAKEOFF'!G36</f>
        <v/>
      </c>
      <c r="C59" s="26">
        <f>'PIPE TAKEOFF'!B36*'LABOR TABLES'!M22*SETTINGS!$B$17</f>
        <v/>
      </c>
      <c r="D59" s="26">
        <f>'PIPE TAKEOFF'!C36*'LABOR TABLES'!N22*SETTINGS!$B$17</f>
        <v/>
      </c>
      <c r="E59" s="26">
        <f>'PIPE TAKEOFF'!D36*'LABOR TABLES'!O22*SETTINGS!$B$17</f>
        <v/>
      </c>
      <c r="F59" s="26">
        <f>C59+D59+E59</f>
        <v/>
      </c>
      <c r="G59" s="31">
        <f>F59*SETTINGS!$B$11</f>
        <v/>
      </c>
      <c r="H59" s="31">
        <f>'PIPE TAKEOFF'!G36*'LABOR TABLES'!P22</f>
        <v/>
      </c>
      <c r="I59" s="31">
        <f>G59+H59</f>
        <v/>
      </c>
    </row>
    <row r="60" ht="15" customHeight="1" s="250">
      <c r="A60" s="251" t="inlineStr">
        <is>
          <t>SUBTOTAL</t>
        </is>
      </c>
      <c r="B60" s="30">
        <f>SUM(B58:B59)</f>
        <v/>
      </c>
      <c r="C60" s="30">
        <f>SUM(C58:C59)</f>
        <v/>
      </c>
      <c r="D60" s="30">
        <f>SUM(D58:D59)</f>
        <v/>
      </c>
      <c r="E60" s="30">
        <f>SUM(E58:E59)</f>
        <v/>
      </c>
      <c r="F60" s="30">
        <f>SUM(F58:F59)</f>
        <v/>
      </c>
      <c r="G60" s="29">
        <f>SUM(G58:G59)</f>
        <v/>
      </c>
      <c r="H60" s="29">
        <f>SUM(H58:H59)</f>
        <v/>
      </c>
      <c r="I60" s="29">
        <f>SUM(I58:I59)</f>
        <v/>
      </c>
    </row>
    <row r="61" ht="15" customHeight="1" s="250">
      <c r="A61" s="38" t="inlineStr">
        <is>
          <t>⬇ SUPPLIER QUOTE OVERRIDE (optional — overrides material estimate)</t>
        </is>
      </c>
      <c r="H61" s="39" t="n"/>
    </row>
    <row r="62" ht="15" customHeight="1" s="250">
      <c r="A62" s="251" t="inlineStr">
        <is>
          <t>FINAL SECTION COST (labor + material)</t>
        </is>
      </c>
      <c r="I62" s="29">
        <f>IF(H61&lt;&gt;"",G60+H61,I60)</f>
        <v/>
      </c>
    </row>
  </sheetData>
  <mergeCells count="9">
    <mergeCell ref="A2:I2"/>
    <mergeCell ref="A28:I28"/>
    <mergeCell ref="B3:C3"/>
    <mergeCell ref="A1:I1"/>
    <mergeCell ref="A56:I56"/>
    <mergeCell ref="A39:I39"/>
    <mergeCell ref="A50:I50"/>
    <mergeCell ref="A4:I4"/>
    <mergeCell ref="A16:I16"/>
  </mergeCells>
  <dataValidations count="1">
    <dataValidation sqref="B3" showDropDown="0" showInputMessage="1" showErrorMessage="1" allowBlank="1" type="list">
      <formula1>"Single Clevis Hanger,Trapeze Assembly (2-pipe),Trapeze Assembly (3+ pipe)"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F30"/>
  <sheetViews>
    <sheetView showGridLines="0" zoomScaleNormal="100" workbookViewId="0">
      <selection activeCell="C17" sqref="C17"/>
    </sheetView>
  </sheetViews>
  <sheetFormatPr baseColWidth="8" defaultColWidth="8.7109375" defaultRowHeight="15"/>
  <cols>
    <col width="32" customWidth="1" style="250" min="1" max="1"/>
    <col width="8.42578125" customWidth="1" style="72" min="2" max="2"/>
    <col width="16" customWidth="1" style="250" min="3" max="5"/>
    <col width="54.7109375" customWidth="1" style="250" min="6" max="6"/>
  </cols>
  <sheetData>
    <row r="1" ht="27.75" customHeight="1" s="250">
      <c r="A1" s="223" t="inlineStr">
        <is>
          <t>BARRETT PLUMBING INC. — SUBCONTRACTOR COSTS</t>
        </is>
      </c>
      <c r="B1" s="61" t="n"/>
      <c r="C1" s="61" t="n"/>
      <c r="D1" s="61" t="n"/>
      <c r="E1" s="61" t="n"/>
      <c r="F1" s="62" t="n"/>
    </row>
    <row r="2">
      <c r="A2" s="236" t="inlineStr">
        <is>
          <t>Enter sub costs at face value — markups handled outside this tool per your workflow. All costs pass through to the Summary sheet.</t>
        </is>
      </c>
    </row>
    <row r="4" ht="15" customHeight="1" s="250">
      <c r="A4" s="225" t="inlineStr">
        <is>
          <t>Subcontractor / Line Item</t>
        </is>
      </c>
      <c r="B4" s="225" t="inlineStr">
        <is>
          <t>Unit</t>
        </is>
      </c>
      <c r="C4" s="225" t="inlineStr">
        <is>
          <t>Quantity</t>
        </is>
      </c>
      <c r="D4" s="225" t="inlineStr">
        <is>
          <t>Unit Price ($)</t>
        </is>
      </c>
      <c r="E4" s="225" t="inlineStr">
        <is>
          <t>Total Cost ($)</t>
        </is>
      </c>
      <c r="F4" s="225" t="inlineStr">
        <is>
          <t>Notes / Vendor</t>
        </is>
      </c>
    </row>
    <row r="5" ht="15" customHeight="1" s="250">
      <c r="A5" s="36" t="inlineStr">
        <is>
          <t>── EXCAVATION &amp; SITE UTILITIES ──</t>
        </is>
      </c>
      <c r="B5" s="78" t="n"/>
      <c r="C5" s="36" t="n"/>
      <c r="D5" s="36" t="n"/>
      <c r="E5" s="36" t="n"/>
      <c r="F5" s="80" t="n"/>
    </row>
    <row r="6" ht="15" customHeight="1" s="250">
      <c r="A6" s="249" t="inlineStr">
        <is>
          <t>Trench Excavation</t>
        </is>
      </c>
      <c r="B6" s="73" t="inlineStr">
        <is>
          <t>LF</t>
        </is>
      </c>
      <c r="C6" s="25" t="n">
        <v>0</v>
      </c>
      <c r="D6" s="195" t="n">
        <v>4</v>
      </c>
      <c r="E6" s="31">
        <f>C6*D6</f>
        <v/>
      </c>
      <c r="F6" s="79" t="n"/>
    </row>
    <row r="7" ht="15" customHeight="1" s="250">
      <c r="A7" s="249" t="inlineStr">
        <is>
          <t>Backfill &amp; Compaction</t>
        </is>
      </c>
      <c r="B7" s="73" t="inlineStr">
        <is>
          <t>LF</t>
        </is>
      </c>
      <c r="C7" s="25" t="n">
        <v>0</v>
      </c>
      <c r="D7" s="6" t="n">
        <v>0</v>
      </c>
      <c r="E7" s="31">
        <f>C7*D7</f>
        <v/>
      </c>
      <c r="F7" s="79" t="n"/>
    </row>
    <row r="8" ht="15" customHeight="1" s="250">
      <c r="A8" s="249" t="inlineStr">
        <is>
          <t>Boring / Directional Drill</t>
        </is>
      </c>
      <c r="B8" s="73" t="inlineStr">
        <is>
          <t>LF</t>
        </is>
      </c>
      <c r="C8" s="25" t="n">
        <v>0</v>
      </c>
      <c r="D8" s="6" t="n">
        <v>0</v>
      </c>
      <c r="E8" s="31">
        <f>C8*D8</f>
        <v/>
      </c>
      <c r="F8" s="79" t="n"/>
    </row>
    <row r="9" ht="15" customHeight="1" s="250">
      <c r="A9" s="249" t="inlineStr">
        <is>
          <t>Site Utility Connection Fee</t>
        </is>
      </c>
      <c r="B9" s="73" t="inlineStr">
        <is>
          <t>LS</t>
        </is>
      </c>
      <c r="C9" s="25" t="n">
        <v>0</v>
      </c>
      <c r="D9" s="6" t="n">
        <v>0</v>
      </c>
      <c r="E9" s="31">
        <f>C9*D9</f>
        <v/>
      </c>
      <c r="F9" s="79" t="n"/>
    </row>
    <row r="10" ht="15" customHeight="1" s="250">
      <c r="A10" s="36" t="inlineStr">
        <is>
          <t>── CONCRETE WORK ──</t>
        </is>
      </c>
      <c r="B10" s="78" t="n"/>
      <c r="C10" s="36" t="n"/>
      <c r="D10" s="36" t="n"/>
      <c r="E10" s="36" t="n"/>
      <c r="F10" s="80" t="n"/>
    </row>
    <row r="11" ht="15" customHeight="1" s="250">
      <c r="A11" s="249" t="inlineStr">
        <is>
          <t>Concrete Cutting (floor slab)</t>
        </is>
      </c>
      <c r="B11" s="73" t="inlineStr">
        <is>
          <t>LF</t>
        </is>
      </c>
      <c r="C11" s="25" t="n">
        <v>0</v>
      </c>
      <c r="D11" s="6" t="n">
        <v>0</v>
      </c>
      <c r="E11" s="31">
        <f>C11*D11</f>
        <v/>
      </c>
      <c r="F11" s="79" t="n"/>
    </row>
    <row r="12" ht="15" customHeight="1" s="250">
      <c r="A12" s="249" t="inlineStr">
        <is>
          <t>Core Drilling</t>
        </is>
      </c>
      <c r="B12" s="73" t="inlineStr">
        <is>
          <t>EA</t>
        </is>
      </c>
      <c r="C12" s="25" t="n">
        <v>0</v>
      </c>
      <c r="D12" s="6" t="n">
        <v>0</v>
      </c>
      <c r="E12" s="31">
        <f>C12*D12</f>
        <v/>
      </c>
      <c r="F12" s="79" t="n"/>
    </row>
    <row r="13" ht="15" customHeight="1" s="250">
      <c r="A13" s="249" t="inlineStr">
        <is>
          <t>Concrete Patch / Repair</t>
        </is>
      </c>
      <c r="B13" s="73" t="inlineStr">
        <is>
          <t>SF</t>
        </is>
      </c>
      <c r="C13" s="25" t="n">
        <v>0</v>
      </c>
      <c r="D13" s="6" t="n">
        <v>0</v>
      </c>
      <c r="E13" s="31">
        <f>C13*D13</f>
        <v/>
      </c>
      <c r="F13" s="79" t="n"/>
    </row>
    <row r="14" ht="15" customHeight="1" s="250">
      <c r="A14" s="36" t="inlineStr">
        <is>
          <t>── INSULATION ──</t>
        </is>
      </c>
      <c r="B14" s="78" t="n"/>
      <c r="C14" s="36" t="n"/>
      <c r="D14" s="36" t="n"/>
      <c r="E14" s="36" t="n"/>
      <c r="F14" s="80" t="n"/>
    </row>
    <row r="15" ht="15" customHeight="1" s="250">
      <c r="A15" s="249" t="inlineStr">
        <is>
          <t>Pipe Insulation — 1/2" to 1" pipe</t>
        </is>
      </c>
      <c r="B15" s="73" t="inlineStr">
        <is>
          <t>LF</t>
        </is>
      </c>
      <c r="C15" s="25" t="n">
        <v>0</v>
      </c>
      <c r="D15" s="195" t="n">
        <v>8</v>
      </c>
      <c r="E15" s="31">
        <f>C15*D15</f>
        <v/>
      </c>
      <c r="F15" s="79" t="n"/>
    </row>
    <row r="16" ht="15" customHeight="1" s="250">
      <c r="A16" s="249" t="inlineStr">
        <is>
          <t>Pipe Insulation — 1-1/4" to 2" pipe</t>
        </is>
      </c>
      <c r="B16" s="73" t="inlineStr">
        <is>
          <t>LF</t>
        </is>
      </c>
      <c r="C16" s="25" t="n">
        <v>0</v>
      </c>
      <c r="D16" s="6" t="n">
        <v>0</v>
      </c>
      <c r="E16" s="31">
        <f>C16*D16</f>
        <v/>
      </c>
      <c r="F16" s="79" t="n"/>
    </row>
    <row r="17" ht="15" customHeight="1" s="250">
      <c r="A17" s="249" t="inlineStr">
        <is>
          <t>Pipe Insulation — 2-1/2" to 4" pipe</t>
        </is>
      </c>
      <c r="B17" s="73" t="inlineStr">
        <is>
          <t>LF</t>
        </is>
      </c>
      <c r="C17" s="25" t="n">
        <v>0</v>
      </c>
      <c r="D17" s="6" t="n">
        <v>0</v>
      </c>
      <c r="E17" s="31">
        <f>C17*D17</f>
        <v/>
      </c>
      <c r="F17" s="79" t="n"/>
    </row>
    <row r="18" ht="15" customHeight="1" s="250">
      <c r="A18" s="36" t="inlineStr">
        <is>
          <t>── FIRE STOP / PENETRATION SEALING ──</t>
        </is>
      </c>
      <c r="B18" s="78" t="n"/>
      <c r="C18" s="36" t="n"/>
      <c r="D18" s="36" t="n"/>
      <c r="E18" s="36" t="n"/>
      <c r="F18" s="80" t="n"/>
    </row>
    <row r="19" ht="15" customHeight="1" s="250">
      <c r="A19" s="249" t="inlineStr">
        <is>
          <t>Fire Stop Caulk / Wrap</t>
        </is>
      </c>
      <c r="B19" s="73" t="inlineStr">
        <is>
          <t>EA</t>
        </is>
      </c>
      <c r="C19" s="25" t="n">
        <v>0</v>
      </c>
      <c r="D19" s="6" t="n">
        <v>0</v>
      </c>
      <c r="E19" s="31">
        <f>C19*D19</f>
        <v/>
      </c>
      <c r="F19" s="79" t="n"/>
    </row>
    <row r="20" ht="15" customHeight="1" s="250">
      <c r="A20" s="249" t="inlineStr">
        <is>
          <t>Intumescent Wrap</t>
        </is>
      </c>
      <c r="B20" s="73" t="inlineStr">
        <is>
          <t>EA</t>
        </is>
      </c>
      <c r="C20" s="25" t="n">
        <v>0</v>
      </c>
      <c r="D20" s="6" t="n">
        <v>0</v>
      </c>
      <c r="E20" s="31">
        <f>C20*D20</f>
        <v/>
      </c>
      <c r="F20" s="79" t="n"/>
    </row>
    <row r="21" ht="15" customHeight="1" s="250">
      <c r="A21" s="249" t="inlineStr">
        <is>
          <t>Fire Stop Inspection</t>
        </is>
      </c>
      <c r="B21" s="73" t="inlineStr">
        <is>
          <t>LS</t>
        </is>
      </c>
      <c r="C21" s="25" t="n">
        <v>0</v>
      </c>
      <c r="D21" s="6" t="n">
        <v>0</v>
      </c>
      <c r="E21" s="31">
        <f>C21*D21</f>
        <v/>
      </c>
      <c r="F21" s="79" t="n"/>
    </row>
    <row r="22" ht="15" customHeight="1" s="250">
      <c r="A22" s="36" t="inlineStr">
        <is>
          <t>── TESTING &amp; INSPECTIONS ──</t>
        </is>
      </c>
      <c r="B22" s="78" t="n"/>
      <c r="C22" s="36" t="n"/>
      <c r="D22" s="36" t="n"/>
      <c r="E22" s="36" t="n"/>
      <c r="F22" s="80" t="n"/>
    </row>
    <row r="23" ht="15" customHeight="1" s="250">
      <c r="A23" s="249" t="inlineStr">
        <is>
          <t>Third-Party Testing / Balancing</t>
        </is>
      </c>
      <c r="B23" s="73" t="inlineStr">
        <is>
          <t>LS</t>
        </is>
      </c>
      <c r="C23" s="25" t="n">
        <v>0</v>
      </c>
      <c r="D23" s="6" t="n">
        <v>0</v>
      </c>
      <c r="E23" s="31">
        <f>C23*D23</f>
        <v/>
      </c>
      <c r="F23" s="79" t="n"/>
    </row>
    <row r="24" ht="15" customHeight="1" s="250">
      <c r="A24" s="249" t="inlineStr">
        <is>
          <t>Permit / Inspection Fees</t>
        </is>
      </c>
      <c r="B24" s="73" t="inlineStr">
        <is>
          <t>LS</t>
        </is>
      </c>
      <c r="C24" s="25" t="n">
        <v>0</v>
      </c>
      <c r="D24" s="6" t="n">
        <v>0</v>
      </c>
      <c r="E24" s="31">
        <f>C24*D24</f>
        <v/>
      </c>
      <c r="F24" s="79" t="n"/>
    </row>
    <row r="25" ht="15" customHeight="1" s="250">
      <c r="A25" s="36" t="inlineStr">
        <is>
          <t>── OTHER SUBCONTRACTORS ──</t>
        </is>
      </c>
      <c r="B25" s="78" t="n"/>
      <c r="C25" s="36" t="n"/>
      <c r="D25" s="36" t="n"/>
      <c r="E25" s="36" t="n"/>
      <c r="F25" s="80" t="n"/>
    </row>
    <row r="26" ht="15" customHeight="1" s="250">
      <c r="A26" s="88" t="inlineStr">
        <is>
          <t>Lift Rental</t>
        </is>
      </c>
      <c r="B26" s="89" t="inlineStr">
        <is>
          <t>DAY</t>
        </is>
      </c>
      <c r="C26" s="25" t="n">
        <v>0</v>
      </c>
      <c r="D26" s="195" t="n">
        <v>50</v>
      </c>
      <c r="E26" s="31">
        <f>C26*D26</f>
        <v/>
      </c>
      <c r="F26" s="79" t="n"/>
    </row>
    <row r="27" ht="15" customHeight="1" s="250">
      <c r="A27" s="249" t="inlineStr">
        <is>
          <t>Other Sub 2</t>
        </is>
      </c>
      <c r="B27" s="73" t="n"/>
      <c r="C27" s="25" t="n">
        <v>0</v>
      </c>
      <c r="D27" s="6" t="n">
        <v>0</v>
      </c>
      <c r="E27" s="31">
        <f>C27*D27</f>
        <v/>
      </c>
      <c r="F27" s="79" t="n"/>
    </row>
    <row r="28" ht="15" customHeight="1" s="250">
      <c r="A28" s="249" t="inlineStr">
        <is>
          <t>Other Sub 3</t>
        </is>
      </c>
      <c r="B28" s="73" t="n"/>
      <c r="C28" s="25" t="n">
        <v>0</v>
      </c>
      <c r="D28" s="6" t="n">
        <v>0</v>
      </c>
      <c r="E28" s="31">
        <f>C28*D28</f>
        <v/>
      </c>
      <c r="F28" s="79" t="n"/>
    </row>
    <row r="30" ht="15" customHeight="1" s="250">
      <c r="A30" s="251" t="inlineStr">
        <is>
          <t>TOTAL SUBCONTRACTOR COSTS</t>
        </is>
      </c>
      <c r="E30" s="29">
        <f>SUMIF(E5:E28,"&gt;0")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K30"/>
  <sheetViews>
    <sheetView showGridLines="0" zoomScaleNormal="100" workbookViewId="0">
      <selection activeCell="C6" sqref="C6"/>
    </sheetView>
  </sheetViews>
  <sheetFormatPr baseColWidth="8" defaultColWidth="8.7109375" defaultRowHeight="15"/>
  <cols>
    <col width="22" customWidth="1" style="250" min="1" max="1"/>
    <col width="33" customWidth="1" style="250" min="2" max="2"/>
    <col width="16.42578125" customWidth="1" style="250" min="3" max="3"/>
    <col width="20" customWidth="1" style="250" min="4" max="4"/>
    <col width="18.28515625" bestFit="1" customWidth="1" style="250" min="5" max="5"/>
    <col width="16.7109375" customWidth="1" style="250" min="6" max="6"/>
    <col width="14.7109375" customWidth="1" style="250" min="7" max="7"/>
    <col width="19" bestFit="1" customWidth="1" style="250" min="8" max="8"/>
    <col width="16" customWidth="1" style="250" min="9" max="9"/>
    <col width="21.7109375" bestFit="1" customWidth="1" style="250" min="10" max="10"/>
  </cols>
  <sheetData>
    <row r="1" ht="27.75" customHeight="1" s="250">
      <c r="A1" s="223" t="inlineStr">
        <is>
          <t>BARRETT PLUMBING INC. — MASONRY SLEEVE SCHEDULE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2" t="n"/>
    </row>
    <row r="2" ht="15" customHeight="1" s="250">
      <c r="A2" s="224" t="inlineStr">
        <is>
          <t>Enter sleeve counts by size and wall type. Site visit coordination hours auto-calculated. Material cost auto-estimated with override available.</t>
        </is>
      </c>
    </row>
    <row r="4" ht="15" customHeight="1" s="250">
      <c r="A4" s="225" t="inlineStr">
        <is>
          <t>Sleeve Size</t>
        </is>
      </c>
      <c r="B4" s="225" t="inlineStr">
        <is>
          <t>Wall Type</t>
        </is>
      </c>
      <c r="C4" s="225" t="inlineStr">
        <is>
          <t>Qty Needed</t>
        </is>
      </c>
      <c r="D4" s="225" t="inlineStr">
        <is>
          <t>Unit Material Cost ($)</t>
        </is>
      </c>
      <c r="E4" s="225" t="inlineStr">
        <is>
          <t>Total Material Cost</t>
        </is>
      </c>
      <c r="F4" s="225" t="inlineStr">
        <is>
          <t>Install Hrs/Sleeve</t>
        </is>
      </c>
      <c r="G4" s="225" t="inlineStr">
        <is>
          <t>Total Install Hrs</t>
        </is>
      </c>
      <c r="H4" s="225" t="inlineStr">
        <is>
          <t>Site Visits Required</t>
        </is>
      </c>
      <c r="I4" s="225" t="inlineStr">
        <is>
          <t>Hrs/Visit (Crew)</t>
        </is>
      </c>
      <c r="J4" s="225" t="inlineStr">
        <is>
          <t>Total Coordination Hrs</t>
        </is>
      </c>
    </row>
    <row r="5" ht="15" customHeight="1" s="250">
      <c r="A5" s="249" t="inlineStr">
        <is>
          <t>2" Sleeve</t>
        </is>
      </c>
      <c r="B5" s="14">
        <f>INPUT!B18</f>
        <v/>
      </c>
      <c r="C5" s="13" t="n">
        <v>1</v>
      </c>
      <c r="D5" s="6" t="n">
        <v>12</v>
      </c>
      <c r="E5" s="31">
        <f>C5*D5</f>
        <v/>
      </c>
      <c r="F5" s="25" t="n">
        <v>0.5</v>
      </c>
      <c r="G5" s="26">
        <f>C5*F5*SETTINGS!$B$17</f>
        <v/>
      </c>
      <c r="H5" s="13" t="n">
        <v>1</v>
      </c>
      <c r="I5" s="25" t="n">
        <v>2</v>
      </c>
      <c r="J5" s="26">
        <f>C5*H5*I5*SETTINGS!$B$17</f>
        <v/>
      </c>
    </row>
    <row r="6" ht="15" customHeight="1" s="250">
      <c r="A6" s="249" t="inlineStr">
        <is>
          <t>2" Sleeve</t>
        </is>
      </c>
      <c r="B6" s="14" t="inlineStr">
        <is>
          <t>Tilt-Up</t>
        </is>
      </c>
      <c r="C6" s="13" t="n">
        <v>0</v>
      </c>
      <c r="D6" s="6" t="n">
        <v>14</v>
      </c>
      <c r="E6" s="31">
        <f>C6*D6</f>
        <v/>
      </c>
      <c r="F6" s="25" t="n">
        <v>0.5</v>
      </c>
      <c r="G6" s="26">
        <f>C6*F6*SETTINGS!$B$17</f>
        <v/>
      </c>
      <c r="H6" s="13" t="n">
        <v>1</v>
      </c>
      <c r="I6" s="25" t="n">
        <v>2</v>
      </c>
      <c r="J6" s="26">
        <f>C6*H6*I6*SETTINGS!$B$17</f>
        <v/>
      </c>
    </row>
    <row r="7" ht="15" customHeight="1" s="250">
      <c r="A7" s="249" t="inlineStr">
        <is>
          <t>3" Sleeve</t>
        </is>
      </c>
      <c r="B7" s="14">
        <f>INPUT!B18</f>
        <v/>
      </c>
      <c r="C7" s="13" t="n">
        <v>0</v>
      </c>
      <c r="D7" s="6" t="n">
        <v>16</v>
      </c>
      <c r="E7" s="31">
        <f>C7*D7</f>
        <v/>
      </c>
      <c r="F7" s="25" t="n">
        <v>0.75</v>
      </c>
      <c r="G7" s="26">
        <f>C7*F7*SETTINGS!$B$17</f>
        <v/>
      </c>
      <c r="H7" s="13" t="n">
        <v>1</v>
      </c>
      <c r="I7" s="25" t="n">
        <v>2</v>
      </c>
      <c r="J7" s="26">
        <f>C7*H7*I7*SETTINGS!$B$17</f>
        <v/>
      </c>
    </row>
    <row r="8" ht="15" customHeight="1" s="250">
      <c r="A8" s="249" t="inlineStr">
        <is>
          <t>3" Sleeve</t>
        </is>
      </c>
      <c r="B8" s="14" t="inlineStr">
        <is>
          <t>Tilt-Up</t>
        </is>
      </c>
      <c r="C8" s="13" t="n">
        <v>0</v>
      </c>
      <c r="D8" s="6" t="n">
        <v>18</v>
      </c>
      <c r="E8" s="31">
        <f>C8*D8</f>
        <v/>
      </c>
      <c r="F8" s="25" t="n">
        <v>0.75</v>
      </c>
      <c r="G8" s="26">
        <f>C8*F8*SETTINGS!$B$17</f>
        <v/>
      </c>
      <c r="H8" s="13" t="n">
        <v>1</v>
      </c>
      <c r="I8" s="25" t="n">
        <v>2</v>
      </c>
      <c r="J8" s="26">
        <f>C8*H8*I8*SETTINGS!$B$17</f>
        <v/>
      </c>
    </row>
    <row r="9" ht="15" customHeight="1" s="250">
      <c r="A9" s="249" t="inlineStr">
        <is>
          <t>4" Sleeve</t>
        </is>
      </c>
      <c r="B9" s="14">
        <f>INPUT!B18</f>
        <v/>
      </c>
      <c r="C9" s="13" t="n">
        <v>0</v>
      </c>
      <c r="D9" s="6" t="n">
        <v>22</v>
      </c>
      <c r="E9" s="31">
        <f>C9*D9</f>
        <v/>
      </c>
      <c r="F9" s="25" t="n">
        <v>1</v>
      </c>
      <c r="G9" s="26">
        <f>C9*F9*SETTINGS!$B$17</f>
        <v/>
      </c>
      <c r="H9" s="13" t="n">
        <v>1</v>
      </c>
      <c r="I9" s="25" t="n">
        <v>2</v>
      </c>
      <c r="J9" s="26">
        <f>C9*H9*I9*SETTINGS!$B$17</f>
        <v/>
      </c>
    </row>
    <row r="10" ht="15" customHeight="1" s="250">
      <c r="A10" s="249" t="inlineStr">
        <is>
          <t>4" Sleeve</t>
        </is>
      </c>
      <c r="B10" s="14" t="inlineStr">
        <is>
          <t>Tilt-Up</t>
        </is>
      </c>
      <c r="C10" s="13" t="n">
        <v>0</v>
      </c>
      <c r="D10" s="6" t="n">
        <v>26</v>
      </c>
      <c r="E10" s="31">
        <f>C10*D10</f>
        <v/>
      </c>
      <c r="F10" s="25" t="n">
        <v>1</v>
      </c>
      <c r="G10" s="26">
        <f>C10*F10*SETTINGS!$B$17</f>
        <v/>
      </c>
      <c r="H10" s="13" t="n">
        <v>1</v>
      </c>
      <c r="I10" s="25" t="n">
        <v>2</v>
      </c>
      <c r="J10" s="26">
        <f>C10*H10*I10*SETTINGS!$B$17</f>
        <v/>
      </c>
    </row>
    <row r="11" ht="15" customHeight="1" s="250">
      <c r="A11" s="249" t="inlineStr">
        <is>
          <t>6" Sleeve</t>
        </is>
      </c>
      <c r="B11" s="14">
        <f>INPUT!B18</f>
        <v/>
      </c>
      <c r="C11" s="13" t="n">
        <v>0</v>
      </c>
      <c r="D11" s="6" t="n">
        <v>38</v>
      </c>
      <c r="E11" s="31">
        <f>C11*D11</f>
        <v/>
      </c>
      <c r="F11" s="25" t="n">
        <v>1.5</v>
      </c>
      <c r="G11" s="26">
        <f>C11*F11*SETTINGS!$B$17</f>
        <v/>
      </c>
      <c r="H11" s="13" t="n">
        <v>2</v>
      </c>
      <c r="I11" s="25" t="n">
        <v>2</v>
      </c>
      <c r="J11" s="26">
        <f>C11*H11*I11*SETTINGS!$B$17</f>
        <v/>
      </c>
    </row>
    <row r="12" ht="15" customHeight="1" s="250">
      <c r="A12" s="249" t="inlineStr">
        <is>
          <t>6" Sleeve</t>
        </is>
      </c>
      <c r="B12" s="14" t="inlineStr">
        <is>
          <t>Tilt-Up</t>
        </is>
      </c>
      <c r="C12" s="13" t="n">
        <v>0</v>
      </c>
      <c r="D12" s="6" t="n">
        <v>44</v>
      </c>
      <c r="E12" s="31">
        <f>C12*D12</f>
        <v/>
      </c>
      <c r="F12" s="25" t="n">
        <v>1.5</v>
      </c>
      <c r="G12" s="26">
        <f>C12*F12*SETTINGS!$B$17</f>
        <v/>
      </c>
      <c r="H12" s="13" t="n">
        <v>2</v>
      </c>
      <c r="I12" s="25" t="n">
        <v>2</v>
      </c>
      <c r="J12" s="26">
        <f>C12*H12*I12*SETTINGS!$B$17</f>
        <v/>
      </c>
    </row>
    <row r="13" ht="15" customHeight="1" s="250">
      <c r="A13" s="249" t="inlineStr">
        <is>
          <t>8" Sleeve</t>
        </is>
      </c>
      <c r="B13" s="14">
        <f>INPUT!B18</f>
        <v/>
      </c>
      <c r="C13" s="13" t="n">
        <v>0</v>
      </c>
      <c r="D13" s="6" t="n">
        <v>55</v>
      </c>
      <c r="E13" s="31">
        <f>C13*D13</f>
        <v/>
      </c>
      <c r="F13" s="25" t="n">
        <v>2</v>
      </c>
      <c r="G13" s="26">
        <f>C13*F13*SETTINGS!$B$17</f>
        <v/>
      </c>
      <c r="H13" s="13" t="n">
        <v>2</v>
      </c>
      <c r="I13" s="25" t="n">
        <v>2</v>
      </c>
      <c r="J13" s="26">
        <f>C13*H13*I13*SETTINGS!$B$17</f>
        <v/>
      </c>
    </row>
    <row r="14" ht="15" customHeight="1" s="250">
      <c r="A14" s="249" t="inlineStr">
        <is>
          <t>8" Sleeve</t>
        </is>
      </c>
      <c r="B14" s="14" t="inlineStr">
        <is>
          <t>Tilt-Up</t>
        </is>
      </c>
      <c r="C14" s="13" t="n">
        <v>0</v>
      </c>
      <c r="D14" s="6" t="n">
        <v>62</v>
      </c>
      <c r="E14" s="31">
        <f>C14*D14</f>
        <v/>
      </c>
      <c r="F14" s="25" t="n">
        <v>2</v>
      </c>
      <c r="G14" s="26">
        <f>C14*F14*SETTINGS!$B$17</f>
        <v/>
      </c>
      <c r="H14" s="13" t="n">
        <v>2</v>
      </c>
      <c r="I14" s="25" t="n">
        <v>2</v>
      </c>
      <c r="J14" s="26">
        <f>C14*H14*I14*SETTINGS!$B$17</f>
        <v/>
      </c>
    </row>
    <row r="15" ht="15" customHeight="1" s="250">
      <c r="A15" s="249" t="inlineStr">
        <is>
          <t>10" Sleeve</t>
        </is>
      </c>
      <c r="B15" s="14">
        <f>INPUT!B18</f>
        <v/>
      </c>
      <c r="C15" s="13" t="n">
        <v>0</v>
      </c>
      <c r="D15" s="6" t="n">
        <v>75</v>
      </c>
      <c r="E15" s="31">
        <f>C15*D15</f>
        <v/>
      </c>
      <c r="F15" s="25" t="n">
        <v>2.5</v>
      </c>
      <c r="G15" s="26">
        <f>C15*F15*SETTINGS!$B$17</f>
        <v/>
      </c>
      <c r="H15" s="13" t="n">
        <v>3</v>
      </c>
      <c r="I15" s="25" t="n">
        <v>2</v>
      </c>
      <c r="J15" s="26">
        <f>C15*H15*I15*SETTINGS!$B$17</f>
        <v/>
      </c>
    </row>
    <row r="16" ht="15" customHeight="1" s="250">
      <c r="A16" s="249" t="inlineStr">
        <is>
          <t>10" Sleeve</t>
        </is>
      </c>
      <c r="B16" s="14" t="inlineStr">
        <is>
          <t>Tilt-Up</t>
        </is>
      </c>
      <c r="C16" s="13" t="n">
        <v>0</v>
      </c>
      <c r="D16" s="6" t="n">
        <v>85</v>
      </c>
      <c r="E16" s="31">
        <f>C16*D16</f>
        <v/>
      </c>
      <c r="F16" s="25" t="n">
        <v>2.5</v>
      </c>
      <c r="G16" s="26">
        <f>C16*F16*SETTINGS!$B$17</f>
        <v/>
      </c>
      <c r="H16" s="13" t="n">
        <v>3</v>
      </c>
      <c r="I16" s="25" t="n">
        <v>2</v>
      </c>
      <c r="J16" s="26">
        <f>C16*H16*I16*SETTINGS!$B$17</f>
        <v/>
      </c>
    </row>
    <row r="17" ht="15" customHeight="1" s="250">
      <c r="A17" s="249" t="inlineStr">
        <is>
          <t>Custom Size</t>
        </is>
      </c>
      <c r="B17" s="14" t="inlineStr">
        <is>
          <t>Other</t>
        </is>
      </c>
      <c r="C17" s="13" t="n">
        <v>0</v>
      </c>
      <c r="D17" s="6" t="n">
        <v>0</v>
      </c>
      <c r="E17" s="31">
        <f>C17*D17</f>
        <v/>
      </c>
      <c r="F17" s="25" t="n">
        <v>0</v>
      </c>
      <c r="G17" s="26">
        <f>C17*F17*SETTINGS!$B$17</f>
        <v/>
      </c>
      <c r="H17" s="13" t="n">
        <v>1</v>
      </c>
      <c r="I17" s="25" t="n">
        <v>2</v>
      </c>
      <c r="J17" s="26">
        <f>C17*H17*I17*SETTINGS!$B$17</f>
        <v/>
      </c>
    </row>
    <row r="19" ht="15" customHeight="1" s="250">
      <c r="A19" s="251" t="inlineStr">
        <is>
          <t>SLEEVE TOTALS</t>
        </is>
      </c>
      <c r="B19" s="22" t="n"/>
      <c r="C19" s="23">
        <f>SUM(C5:C17)</f>
        <v/>
      </c>
      <c r="D19" s="22" t="n"/>
      <c r="E19" s="29">
        <f>SUM(E5:E17)</f>
        <v/>
      </c>
      <c r="F19" s="22" t="n"/>
      <c r="G19" s="30">
        <f>SUM(G5:G17)</f>
        <v/>
      </c>
      <c r="H19" s="22" t="n"/>
      <c r="I19" s="22" t="n"/>
      <c r="J19" s="30">
        <f>SUM(J5:J17)</f>
        <v/>
      </c>
    </row>
    <row r="21" ht="15" customHeight="1" s="250" thickBot="1">
      <c r="A21" s="225" t="inlineStr">
        <is>
          <t>SITE VISIT COORDINATION SCHEDULE</t>
        </is>
      </c>
      <c r="B21" s="61" t="n"/>
      <c r="C21" s="61" t="n"/>
      <c r="D21" s="61" t="n"/>
      <c r="E21" s="61" t="n"/>
      <c r="F21" s="61" t="n"/>
      <c r="G21" s="61" t="n"/>
      <c r="H21" s="61" t="n"/>
      <c r="I21" s="61" t="n"/>
      <c r="J21" s="62" t="n"/>
    </row>
    <row r="22" ht="15" customHeight="1" s="250" thickBot="1">
      <c r="A22" s="225" t="inlineStr">
        <is>
          <t>Visit #</t>
        </is>
      </c>
      <c r="B22" s="225" t="inlineStr">
        <is>
          <t>Purpose / Phase</t>
        </is>
      </c>
      <c r="C22" s="225" t="inlineStr">
        <is>
          <t>Scheduled Date</t>
        </is>
      </c>
      <c r="D22" s="225" t="inlineStr">
        <is>
          <t>Est. Hours on Site</t>
        </is>
      </c>
      <c r="E22" s="225" t="inlineStr">
        <is>
          <t>Crew Members</t>
        </is>
      </c>
      <c r="F22" s="225" t="inlineStr">
        <is>
          <t>Total Crew Hours</t>
        </is>
      </c>
      <c r="G22" s="244" t="inlineStr">
        <is>
          <t>Notes</t>
        </is>
      </c>
      <c r="H22" s="260" t="n"/>
      <c r="I22" s="260" t="n"/>
      <c r="J22" s="260" t="n"/>
    </row>
    <row r="23" ht="15" customHeight="1" s="250">
      <c r="A23" s="32" t="n">
        <v>1</v>
      </c>
      <c r="B23" s="232" t="inlineStr">
        <is>
          <t>Pre-pour sleeve set (masonry phase)</t>
        </is>
      </c>
      <c r="C23" s="232" t="n"/>
      <c r="D23" s="33" t="n"/>
      <c r="E23" s="34" t="n"/>
      <c r="F23" s="231" t="n"/>
      <c r="G23" s="261" t="n"/>
      <c r="H23" s="262" t="n"/>
      <c r="I23" s="262" t="n"/>
      <c r="J23" s="263" t="n"/>
      <c r="K23" s="75" t="n"/>
    </row>
    <row r="24" ht="15" customHeight="1" s="250">
      <c r="A24" s="32" t="n">
        <v>2</v>
      </c>
      <c r="B24" s="232" t="inlineStr">
        <is>
          <t>Verify sleeve locations before pour</t>
        </is>
      </c>
      <c r="C24" s="232" t="n"/>
      <c r="D24" s="33" t="n"/>
      <c r="E24" s="34" t="n"/>
      <c r="F24" s="74" t="n"/>
      <c r="G24" s="243" t="n"/>
      <c r="H24" s="264" t="n"/>
      <c r="I24" s="264" t="n"/>
      <c r="J24" s="264" t="n"/>
      <c r="K24" s="75" t="n"/>
    </row>
    <row r="25" ht="15" customHeight="1" s="250">
      <c r="A25" s="32" t="n">
        <v>3</v>
      </c>
      <c r="B25" s="232" t="n"/>
      <c r="C25" s="232" t="n"/>
      <c r="D25" s="33" t="n"/>
      <c r="E25" s="34" t="n"/>
      <c r="F25" s="231" t="n"/>
      <c r="G25" s="261" t="n"/>
      <c r="H25" s="262" t="n"/>
      <c r="I25" s="262" t="n"/>
      <c r="J25" s="263" t="n"/>
    </row>
    <row r="26" ht="15" customHeight="1" s="250">
      <c r="A26" s="32" t="n">
        <v>4</v>
      </c>
      <c r="B26" s="232" t="n"/>
      <c r="C26" s="232" t="n"/>
      <c r="D26" s="33" t="n"/>
      <c r="E26" s="34" t="n"/>
      <c r="F26" s="231" t="n"/>
      <c r="G26" s="242" t="n"/>
      <c r="H26" s="264" t="n"/>
      <c r="I26" s="264" t="n"/>
      <c r="J26" s="264" t="n"/>
      <c r="K26" s="75" t="n"/>
    </row>
    <row r="27" ht="15" customHeight="1" s="250">
      <c r="A27" s="32" t="n">
        <v>5</v>
      </c>
      <c r="B27" s="232" t="n"/>
      <c r="C27" s="232" t="n"/>
      <c r="D27" s="33" t="n"/>
      <c r="E27" s="34" t="n"/>
      <c r="F27" s="231" t="n"/>
      <c r="G27" s="239" t="n"/>
      <c r="H27" s="262" t="n"/>
      <c r="I27" s="262" t="n"/>
      <c r="J27" s="262" t="n"/>
      <c r="K27" s="75" t="n"/>
    </row>
    <row r="28" ht="15" customHeight="1" s="250">
      <c r="A28" s="32" t="n">
        <v>6</v>
      </c>
      <c r="B28" s="232" t="n"/>
      <c r="C28" s="232" t="n"/>
      <c r="D28" s="33" t="n"/>
      <c r="E28" s="34" t="n"/>
      <c r="F28" s="74" t="n"/>
      <c r="G28" s="241" t="n"/>
      <c r="H28" s="265" t="n"/>
      <c r="I28" s="265" t="n"/>
      <c r="J28" s="265" t="n"/>
      <c r="K28" s="75" t="n"/>
    </row>
    <row r="29" ht="15" customHeight="1" s="250">
      <c r="A29" s="32" t="n">
        <v>7</v>
      </c>
      <c r="B29" s="232" t="n"/>
      <c r="C29" s="232" t="n"/>
      <c r="D29" s="33" t="n"/>
      <c r="E29" s="34" t="n"/>
      <c r="F29" s="231" t="n"/>
      <c r="G29" s="239" t="n"/>
      <c r="H29" s="262" t="n"/>
      <c r="I29" s="262" t="n"/>
      <c r="J29" s="262" t="n"/>
      <c r="K29" s="75" t="n"/>
    </row>
    <row r="30" ht="15" customHeight="1" s="250">
      <c r="A30" s="32" t="n">
        <v>8</v>
      </c>
      <c r="B30" s="232" t="n"/>
      <c r="C30" s="232" t="n"/>
      <c r="D30" s="33" t="n"/>
      <c r="E30" s="34" t="n"/>
      <c r="F30" s="231" t="n"/>
      <c r="G30" s="239" t="n"/>
      <c r="H30" s="262" t="n"/>
      <c r="I30" s="262" t="n"/>
      <c r="J30" s="262" t="n"/>
      <c r="K30" s="75" t="n"/>
    </row>
  </sheetData>
  <mergeCells count="12">
    <mergeCell ref="G22:J22"/>
    <mergeCell ref="A1:J1"/>
    <mergeCell ref="G23:J23"/>
    <mergeCell ref="G26:J26"/>
    <mergeCell ref="A21:J21"/>
    <mergeCell ref="G29:J29"/>
    <mergeCell ref="G24:J24"/>
    <mergeCell ref="G30:J30"/>
    <mergeCell ref="A2:J2"/>
    <mergeCell ref="G25:J25"/>
    <mergeCell ref="G27:J27"/>
    <mergeCell ref="G28:J28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1F4E78"/>
    <outlinePr summaryBelow="1" summaryRight="1"/>
    <pageSetUpPr/>
  </sheetPr>
  <dimension ref="A1:E59"/>
  <sheetViews>
    <sheetView showGridLines="0" tabSelected="1" zoomScaleNormal="100" workbookViewId="0">
      <selection activeCell="B5" sqref="B5:C5"/>
    </sheetView>
  </sheetViews>
  <sheetFormatPr baseColWidth="8" defaultColWidth="8.7109375" defaultRowHeight="15"/>
  <cols>
    <col width="39" customWidth="1" style="250" min="1" max="1"/>
    <col width="20" customWidth="1" style="250" min="2" max="4"/>
    <col width="20.85546875" bestFit="1" customWidth="1" style="250" min="5" max="5"/>
  </cols>
  <sheetData>
    <row r="1" ht="30" customHeight="1" s="250">
      <c r="A1" s="247" t="inlineStr">
        <is>
          <t>BARRETT PLUMBING INC. — COMMERCIAL ESTIMATE SUMMARY</t>
        </is>
      </c>
      <c r="B1" s="61" t="n"/>
      <c r="C1" s="61" t="n"/>
      <c r="D1" s="61" t="n"/>
      <c r="E1" s="62" t="n"/>
    </row>
    <row r="3" ht="15" customHeight="1" s="250" thickBot="1">
      <c r="A3" s="225" t="inlineStr">
        <is>
          <t>PROJECT</t>
        </is>
      </c>
      <c r="B3" s="248">
        <f>INPUT!B5</f>
        <v/>
      </c>
      <c r="C3" s="256" t="n"/>
      <c r="D3" s="256" t="n"/>
      <c r="E3" s="192" t="n"/>
    </row>
    <row r="4" ht="15" customHeight="1" s="250" thickBot="1">
      <c r="A4" s="225" t="inlineStr">
        <is>
          <t>CLIENT / GC</t>
        </is>
      </c>
      <c r="B4" s="249">
        <f>INPUT!B6</f>
        <v/>
      </c>
      <c r="C4" s="192" t="n"/>
      <c r="D4" s="225" t="inlineStr">
        <is>
          <t>DATE</t>
        </is>
      </c>
      <c r="E4" s="196">
        <f>INPUT!B10</f>
        <v/>
      </c>
    </row>
    <row r="5" ht="15" customHeight="1" s="250" thickBot="1">
      <c r="A5" s="225" t="inlineStr">
        <is>
          <t>BUILDING TYPE</t>
        </is>
      </c>
      <c r="B5" s="249">
        <f>INPUT!B15</f>
        <v/>
      </c>
      <c r="C5" s="192" t="n"/>
      <c r="D5" s="225" t="inlineStr">
        <is>
          <t>ESTIMATOR</t>
        </is>
      </c>
      <c r="E5" s="197">
        <f>INPUT!B9</f>
        <v/>
      </c>
    </row>
    <row r="6" ht="15.75" customHeight="1" s="250" thickBot="1"/>
    <row r="7" ht="15.75" customHeight="1" s="250" thickBot="1">
      <c r="A7" s="93" t="inlineStr">
        <is>
          <t>LABOR HOURS SUMMARY</t>
        </is>
      </c>
      <c r="B7" s="90" t="inlineStr">
        <is>
          <t>Labor Hrs</t>
        </is>
      </c>
      <c r="C7" s="92" t="n"/>
      <c r="D7" s="91" t="n"/>
      <c r="E7" s="95" t="n"/>
    </row>
    <row r="8">
      <c r="A8" s="149" t="inlineStr">
        <is>
          <t>DWV Pipe System — Sch 40 PVC</t>
        </is>
      </c>
      <c r="B8" s="266">
        <f>'PIPE ESTIMATE'!F12</f>
        <v/>
      </c>
      <c r="D8" s="94" t="inlineStr">
        <is>
          <t>Blended Rate ($/hr)</t>
        </is>
      </c>
      <c r="E8" s="267">
        <f>SETTINGS!B11</f>
        <v/>
      </c>
    </row>
    <row r="9">
      <c r="A9" s="151" t="inlineStr">
        <is>
          <t>Domestic Water Supply (Cold)</t>
        </is>
      </c>
      <c r="B9" s="268">
        <f>'PIPE ESTIMATE'!F24</f>
        <v/>
      </c>
      <c r="D9" s="94" t="inlineStr">
        <is>
          <t>Est. Crew Days (8 hr)</t>
        </is>
      </c>
      <c r="E9" s="97">
        <f>CEILING(B18/8,1)</f>
        <v/>
      </c>
    </row>
    <row r="10">
      <c r="A10" s="151" t="inlineStr">
        <is>
          <t>Domestic Water Supply (Hot)</t>
        </is>
      </c>
      <c r="B10" s="268">
        <f>'PIPE ESTIMATE'!F35</f>
        <v/>
      </c>
      <c r="D10" s="94" t="inlineStr">
        <is>
          <t>Cost per Labor Hour</t>
        </is>
      </c>
      <c r="E10" s="267">
        <f>IF(B18&gt;0,E33/B18,0)</f>
        <v/>
      </c>
    </row>
    <row r="11">
      <c r="A11" s="151" t="inlineStr">
        <is>
          <t>Hot Water Recirculation</t>
        </is>
      </c>
      <c r="B11" s="268">
        <f>'PIPE ESTIMATE'!F60</f>
        <v/>
      </c>
    </row>
    <row r="12">
      <c r="A12" s="151" t="inlineStr">
        <is>
          <t>Compressed Air — Black Iron</t>
        </is>
      </c>
      <c r="B12" s="268">
        <f>'PIPE ESTIMATE'!F46</f>
        <v/>
      </c>
    </row>
    <row r="13">
      <c r="A13" s="151" t="inlineStr">
        <is>
          <t>CMU Block Wall Drops</t>
        </is>
      </c>
      <c r="B13" s="268">
        <f>'PIPE ESTIMATE'!F53</f>
        <v/>
      </c>
    </row>
    <row r="14">
      <c r="A14" s="151" t="inlineStr">
        <is>
          <t>Fixture &amp; Specialty Labor</t>
        </is>
      </c>
      <c r="B14" s="268">
        <f>'FIXTURE ESTIMATE'!D44</f>
        <v/>
      </c>
    </row>
    <row r="15">
      <c r="A15" s="151" t="inlineStr">
        <is>
          <t>Hanger System Labor</t>
        </is>
      </c>
      <c r="B15" s="268">
        <f>'FIXTURE ESTIMATE'!D54</f>
        <v/>
      </c>
    </row>
    <row r="16" s="250">
      <c r="A16" s="151" t="inlineStr">
        <is>
          <t>Masonry Sleeve Labor</t>
        </is>
      </c>
      <c r="B16" s="268">
        <f>'SLEEVE SCHEDULE'!G19+'SLEEVE SCHEDULE'!J19</f>
        <v/>
      </c>
    </row>
    <row r="17" s="250" thickBot="1">
      <c r="A17" s="151" t="inlineStr">
        <is>
          <t>Plumbing Demolition Labor</t>
        </is>
      </c>
      <c r="B17" s="268">
        <f>'DEMO ESTIMATE'!G37+'DEMO ESTIMATE'!D68</f>
        <v/>
      </c>
    </row>
    <row r="18" ht="15.75" customHeight="1" s="250" thickBot="1">
      <c r="A18" s="159" t="inlineStr">
        <is>
          <t>TOTAL LABOR HOURS</t>
        </is>
      </c>
      <c r="B18" s="269">
        <f>SUM(B8:B17)</f>
        <v/>
      </c>
    </row>
    <row r="19" ht="15.75" customHeight="1" s="250" thickBot="1"/>
    <row r="20" ht="15" customHeight="1" s="250">
      <c r="A20" s="229" t="inlineStr">
        <is>
          <t>COST CATEGORY</t>
        </is>
      </c>
      <c r="B20" s="229" t="inlineStr">
        <is>
          <t>Labor Cost ($)</t>
        </is>
      </c>
      <c r="C20" s="229" t="inlineStr">
        <is>
          <t>Material Cost ($)</t>
        </is>
      </c>
      <c r="D20" s="229" t="inlineStr">
        <is>
          <t>Sub / Other ($)</t>
        </is>
      </c>
      <c r="E20" s="229" t="inlineStr">
        <is>
          <t>CATEGORY TOTAL ($)</t>
        </is>
      </c>
    </row>
    <row r="21" ht="15" customHeight="1" s="250">
      <c r="A21" s="249" t="inlineStr">
        <is>
          <t>DWV Pipe System — Sch 40 PVC</t>
        </is>
      </c>
      <c r="B21" s="59">
        <f>'PIPE ESTIMATE'!G12</f>
        <v/>
      </c>
      <c r="C21" s="59">
        <f>'PIPE ESTIMATE'!I14-'PIPE ESTIMATE'!G12</f>
        <v/>
      </c>
      <c r="D21" s="32" t="inlineStr">
        <is>
          <t>-</t>
        </is>
      </c>
      <c r="E21" s="31">
        <f>B21+C21</f>
        <v/>
      </c>
    </row>
    <row r="22" ht="15" customHeight="1" s="250">
      <c r="A22" s="249" t="inlineStr">
        <is>
          <t>Domestic Water Supply (Cold)</t>
        </is>
      </c>
      <c r="B22" s="59">
        <f>'PIPE ESTIMATE'!G24</f>
        <v/>
      </c>
      <c r="C22" s="59">
        <f>'PIPE ESTIMATE'!I26-'PIPE ESTIMATE'!G24</f>
        <v/>
      </c>
      <c r="D22" s="32" t="inlineStr">
        <is>
          <t>-</t>
        </is>
      </c>
      <c r="E22" s="31">
        <f>B22+C22</f>
        <v/>
      </c>
    </row>
    <row r="23" ht="15" customHeight="1" s="250">
      <c r="A23" s="249" t="inlineStr">
        <is>
          <t>Domestic Water Supply (Hot)</t>
        </is>
      </c>
      <c r="B23" s="59">
        <f>'PIPE ESTIMATE'!G35</f>
        <v/>
      </c>
      <c r="C23" s="59">
        <f>'PIPE ESTIMATE'!I37-'PIPE ESTIMATE'!G35</f>
        <v/>
      </c>
      <c r="D23" s="32" t="inlineStr">
        <is>
          <t>-</t>
        </is>
      </c>
      <c r="E23" s="31">
        <f>B23+C23</f>
        <v/>
      </c>
    </row>
    <row r="24" ht="15" customHeight="1" s="250">
      <c r="A24" s="249" t="inlineStr">
        <is>
          <t>Hot Water Recirculation</t>
        </is>
      </c>
      <c r="B24" s="59">
        <f>'PIPE ESTIMATE'!G60</f>
        <v/>
      </c>
      <c r="C24" s="59">
        <f>'PIPE ESTIMATE'!I62-'PIPE ESTIMATE'!G60</f>
        <v/>
      </c>
      <c r="D24" s="32" t="inlineStr">
        <is>
          <t>-</t>
        </is>
      </c>
      <c r="E24" s="31">
        <f>B24+C24</f>
        <v/>
      </c>
    </row>
    <row r="25" ht="15" customHeight="1" s="250">
      <c r="A25" s="126" t="inlineStr">
        <is>
          <t>Compressed Air — Black Iron</t>
        </is>
      </c>
      <c r="B25" s="129">
        <f>'PIPE ESTIMATE'!G46</f>
        <v/>
      </c>
      <c r="C25" s="129">
        <f>'PIPE ESTIMATE'!I48-'PIPE ESTIMATE'!G46</f>
        <v/>
      </c>
      <c r="D25" s="134" t="inlineStr">
        <is>
          <t>-</t>
        </is>
      </c>
      <c r="E25" s="137">
        <f>B25+C25</f>
        <v/>
      </c>
    </row>
    <row r="26" ht="15" customHeight="1" s="250">
      <c r="A26" s="128" t="inlineStr">
        <is>
          <t>CMU Block Wall Drops</t>
        </is>
      </c>
      <c r="B26" s="131">
        <f>'PIPE ESTIMATE'!G53</f>
        <v/>
      </c>
      <c r="C26" s="133" t="inlineStr">
        <is>
          <t>-</t>
        </is>
      </c>
      <c r="D26" s="136" t="inlineStr">
        <is>
          <t>-</t>
        </is>
      </c>
      <c r="E26" s="135">
        <f>B26</f>
        <v/>
      </c>
    </row>
    <row r="27" ht="15" customHeight="1" s="250">
      <c r="A27" s="127" t="inlineStr">
        <is>
          <t>Fixture &amp; Specialty Labor</t>
        </is>
      </c>
      <c r="B27" s="130">
        <f>'FIXTURE ESTIMATE'!E44</f>
        <v/>
      </c>
      <c r="C27" s="132" t="inlineStr">
        <is>
          <t>-</t>
        </is>
      </c>
      <c r="D27" s="132" t="inlineStr">
        <is>
          <t>-</t>
        </is>
      </c>
      <c r="E27" s="138">
        <f>B27</f>
        <v/>
      </c>
    </row>
    <row r="28" ht="15" customHeight="1" s="250">
      <c r="A28" s="249" t="inlineStr">
        <is>
          <t>Hanger System Labor</t>
        </is>
      </c>
      <c r="B28" s="59">
        <f>'FIXTURE ESTIMATE'!E54</f>
        <v/>
      </c>
      <c r="C28" s="32" t="inlineStr">
        <is>
          <t>-</t>
        </is>
      </c>
      <c r="D28" s="32" t="inlineStr">
        <is>
          <t>-</t>
        </is>
      </c>
      <c r="E28" s="31">
        <f>B28</f>
        <v/>
      </c>
    </row>
    <row r="29" ht="15" customHeight="1" s="250">
      <c r="A29" s="249" t="inlineStr">
        <is>
          <t>Masonry Sleeve Material &amp; Labor</t>
        </is>
      </c>
      <c r="B29" s="59">
        <f>('SLEEVE SCHEDULE'!G19+'SLEEVE SCHEDULE'!J19)*SETTINGS!B11</f>
        <v/>
      </c>
      <c r="C29" s="59">
        <f>'SLEEVE SCHEDULE'!E19</f>
        <v/>
      </c>
      <c r="D29" s="32" t="inlineStr">
        <is>
          <t>-</t>
        </is>
      </c>
      <c r="E29" s="31">
        <f>B29+C29</f>
        <v/>
      </c>
    </row>
    <row r="30" ht="15" customHeight="1" s="250">
      <c r="A30" s="249" t="inlineStr">
        <is>
          <t>Subcontractor Costs (pass-through)</t>
        </is>
      </c>
      <c r="B30" s="32" t="inlineStr">
        <is>
          <t>-</t>
        </is>
      </c>
      <c r="C30" s="32" t="inlineStr">
        <is>
          <t>-</t>
        </is>
      </c>
      <c r="D30" s="59">
        <f>'SUBCONTRACTOR COSTS'!E30</f>
        <v/>
      </c>
      <c r="E30" s="31">
        <f>D30</f>
        <v/>
      </c>
    </row>
    <row r="31" ht="15" customHeight="1" s="250">
      <c r="A31" s="249" t="inlineStr">
        <is>
          <t>Mobilization &amp; Travel</t>
        </is>
      </c>
      <c r="B31" s="31">
        <f>SETTINGS!B30+SETTINGS!B31*SETTINGS!B32</f>
        <v/>
      </c>
      <c r="C31" s="32" t="inlineStr">
        <is>
          <t>-</t>
        </is>
      </c>
      <c r="D31" s="32" t="inlineStr">
        <is>
          <t>-</t>
        </is>
      </c>
      <c r="E31" s="31">
        <f>B31</f>
        <v/>
      </c>
    </row>
    <row r="32" ht="15" customHeight="1" s="250">
      <c r="A32" s="249" t="inlineStr">
        <is>
          <t>Plumbing Demolition Labor</t>
        </is>
      </c>
      <c r="B32" s="60">
        <f>'DEMO ESTIMATE'!H37+'DEMO ESTIMATE'!H68</f>
        <v/>
      </c>
      <c r="C32" s="32" t="inlineStr">
        <is>
          <t>-</t>
        </is>
      </c>
      <c r="D32" s="32" t="inlineStr">
        <is>
          <t>-</t>
        </is>
      </c>
      <c r="E32" s="31">
        <f>B32</f>
        <v/>
      </c>
    </row>
    <row r="33" ht="15" customHeight="1" s="250">
      <c r="A33" s="251" t="inlineStr">
        <is>
          <t>SUBTOTAL — DIRECT COSTS</t>
        </is>
      </c>
      <c r="B33" s="29">
        <f>SUM(B21:B32)</f>
        <v/>
      </c>
      <c r="C33" s="29">
        <f>SUM(C21:C32)</f>
        <v/>
      </c>
      <c r="D33" s="29">
        <f>SUM(D21:D32)</f>
        <v/>
      </c>
      <c r="E33" s="29">
        <f>SUM(E21:E32)</f>
        <v/>
      </c>
    </row>
    <row r="34" ht="15" customHeight="1" s="250"/>
    <row r="35" ht="15" customHeight="1" s="250" thickBot="1">
      <c r="A35" s="225" t="inlineStr">
        <is>
          <t>OVERHEAD, PROFIT &amp; ADJUSTMENTS</t>
        </is>
      </c>
      <c r="B35" s="61" t="n"/>
      <c r="C35" s="61" t="n"/>
      <c r="D35" s="61" t="n"/>
      <c r="E35" s="62" t="n"/>
    </row>
    <row r="36" ht="15" customHeight="1" s="250">
      <c r="A36" s="249" t="inlineStr">
        <is>
          <t>Overhead &amp; Burden</t>
        </is>
      </c>
      <c r="B36" s="145">
        <f>SETTINGS!B22</f>
        <v/>
      </c>
      <c r="C36" s="249" t="n"/>
      <c r="D36" s="249" t="n"/>
      <c r="E36" s="31">
        <f>E33*B36</f>
        <v/>
      </c>
    </row>
    <row r="37" ht="15" customHeight="1" s="250">
      <c r="A37" s="249" t="inlineStr">
        <is>
          <t>Profit Margin</t>
        </is>
      </c>
      <c r="B37" s="145">
        <f>SETTINGS!B23</f>
        <v/>
      </c>
      <c r="C37" s="249" t="n"/>
      <c r="D37" s="249" t="n"/>
      <c r="E37" s="31">
        <f>E33*B37</f>
        <v/>
      </c>
    </row>
    <row r="38" ht="15" customHeight="1" s="250">
      <c r="A38" s="249" t="inlineStr">
        <is>
          <t>Bond / Insurance</t>
        </is>
      </c>
      <c r="B38" s="145">
        <f>SETTINGS!B24</f>
        <v/>
      </c>
      <c r="C38" s="249" t="n"/>
      <c r="D38" s="249" t="n"/>
      <c r="E38" s="31">
        <f>E33*B38</f>
        <v/>
      </c>
    </row>
    <row r="39" ht="15" customHeight="1" s="250">
      <c r="A39" s="249" t="inlineStr">
        <is>
          <t>Material Markup (on material costs)</t>
        </is>
      </c>
      <c r="B39" s="145">
        <f>SETTINGS!B21</f>
        <v/>
      </c>
      <c r="C39" s="249" t="n"/>
      <c r="D39" s="249" t="n"/>
      <c r="E39" s="31">
        <f>C33*B39</f>
        <v/>
      </c>
    </row>
    <row r="40" ht="15" customHeight="1" s="250" thickBot="1"/>
    <row r="41" ht="15" customHeight="1" s="250">
      <c r="A41" s="251" t="inlineStr">
        <is>
          <t>SUBTOTAL — WITH OVERHEAD &amp; PROFIT</t>
        </is>
      </c>
      <c r="E41" s="29">
        <f>E33+SUM(E36:E39)</f>
        <v/>
      </c>
    </row>
    <row r="42" ht="15" customHeight="1" s="250"/>
    <row r="43" ht="15" customHeight="1" s="250">
      <c r="A43" s="225" t="inlineStr">
        <is>
          <t>PERMIT &amp; INSPECTION FEES</t>
        </is>
      </c>
      <c r="B43" s="61" t="n"/>
      <c r="C43" s="61" t="n"/>
      <c r="D43" s="61" t="n"/>
      <c r="E43" s="62" t="n"/>
    </row>
    <row r="44" ht="15" customHeight="1" s="250">
      <c r="A44" s="249" t="inlineStr">
        <is>
          <t>Permit Fee (enter from AHJ quote or estimate)</t>
        </is>
      </c>
      <c r="E44" s="6" t="n">
        <v>0</v>
      </c>
    </row>
    <row r="45" ht="15" customHeight="1" s="250">
      <c r="A45" s="249" t="inlineStr">
        <is>
          <t>Plan Review Fee</t>
        </is>
      </c>
      <c r="E45" s="6" t="n">
        <v>0</v>
      </c>
    </row>
    <row r="46" ht="15" customHeight="1" s="250">
      <c r="A46" s="249" t="inlineStr">
        <is>
          <t>Inspection Fees (est.)</t>
        </is>
      </c>
      <c r="E46" s="6" t="n">
        <v>0</v>
      </c>
    </row>
    <row r="47" ht="15" customHeight="1" s="250"/>
    <row r="48" ht="15" customHeight="1" s="250">
      <c r="A48" s="229" t="inlineStr">
        <is>
          <t>ESTIMATE CONFIDENCE RANGE</t>
        </is>
      </c>
      <c r="B48" s="61" t="n"/>
      <c r="C48" s="61" t="n"/>
      <c r="D48" s="61" t="n"/>
      <c r="E48" s="62" t="n"/>
    </row>
    <row r="49" ht="15" customHeight="1" s="250" thickBot="1">
      <c r="A49" s="225" t="n"/>
      <c r="B49" s="225" t="inlineStr">
        <is>
          <t>Low Estimate</t>
        </is>
      </c>
      <c r="C49" s="225" t="inlineStr">
        <is>
          <t>Mid Estimate (Base)</t>
        </is>
      </c>
      <c r="D49" s="225" t="inlineStr">
        <is>
          <t>High Estimate</t>
        </is>
      </c>
      <c r="E49" s="225" t="n"/>
    </row>
    <row r="50" ht="15" customHeight="1" s="250" thickBot="1">
      <c r="A50" s="249" t="inlineStr">
        <is>
          <t>Contingency %</t>
        </is>
      </c>
      <c r="B50" s="146">
        <f>SETTINGS!B25</f>
        <v/>
      </c>
      <c r="C50" s="146">
        <f>SETTINGS!B26</f>
        <v/>
      </c>
      <c r="D50" s="146">
        <f>SETTINGS!B27</f>
        <v/>
      </c>
    </row>
    <row r="51" ht="15" customHeight="1" s="250" thickBot="1">
      <c r="A51" s="251" t="inlineStr">
        <is>
          <t>TOTAL ESTIMATE</t>
        </is>
      </c>
      <c r="B51" s="58">
        <f>(E41+E44+E45+E46)*(1+B50)</f>
        <v/>
      </c>
      <c r="C51" s="58">
        <f>(E41+E44+E45+E46)*(1+C50)</f>
        <v/>
      </c>
      <c r="D51" s="58">
        <f>(E41+E44+E45+E46)*(1+D50)</f>
        <v/>
      </c>
    </row>
    <row r="52" ht="15" customHeight="1" s="250"/>
    <row r="53" ht="15" customHeight="1" s="250">
      <c r="A53" s="225" t="inlineStr">
        <is>
          <t>BID NOTES &amp; EXCLUSIONS</t>
        </is>
      </c>
      <c r="B53" s="61" t="n"/>
      <c r="C53" s="61" t="n"/>
      <c r="D53" s="61" t="n"/>
      <c r="E53" s="62" t="n"/>
    </row>
    <row r="54" ht="15" customHeight="1" s="250">
      <c r="A54" s="231" t="n"/>
      <c r="B54" s="256" t="n"/>
      <c r="C54" s="256" t="n"/>
      <c r="D54" s="256" t="n"/>
      <c r="E54" s="256" t="n"/>
    </row>
    <row r="55" ht="15" customHeight="1" s="250">
      <c r="A55" s="231" t="n"/>
      <c r="B55" s="256" t="n"/>
      <c r="C55" s="256" t="n"/>
      <c r="D55" s="256" t="n"/>
      <c r="E55" s="256" t="n"/>
    </row>
    <row r="56" ht="15" customHeight="1" s="250">
      <c r="A56" s="231" t="n"/>
      <c r="B56" s="256" t="n"/>
      <c r="C56" s="256" t="n"/>
      <c r="D56" s="256" t="n"/>
      <c r="E56" s="256" t="n"/>
    </row>
    <row r="57" ht="15" customHeight="1" s="250">
      <c r="A57" s="231" t="n"/>
      <c r="B57" s="256" t="n"/>
      <c r="C57" s="256" t="n"/>
      <c r="D57" s="256" t="n"/>
      <c r="E57" s="256" t="n"/>
    </row>
    <row r="58" ht="15" customHeight="1" s="250">
      <c r="A58" s="231" t="n"/>
      <c r="B58" s="256" t="n"/>
      <c r="C58" s="256" t="n"/>
      <c r="D58" s="256" t="n"/>
      <c r="E58" s="256" t="n"/>
    </row>
    <row r="59" ht="15" customHeight="1" s="250">
      <c r="A59" s="231" t="n"/>
      <c r="B59" s="256" t="n"/>
      <c r="C59" s="256" t="n"/>
      <c r="D59" s="256" t="n"/>
      <c r="E59" s="256" t="n"/>
    </row>
  </sheetData>
  <mergeCells count="15">
    <mergeCell ref="A53:E53"/>
    <mergeCell ref="A55:E55"/>
    <mergeCell ref="A34:E34"/>
    <mergeCell ref="A59:E59"/>
    <mergeCell ref="A57:E57"/>
    <mergeCell ref="A54:E54"/>
    <mergeCell ref="A52:E52"/>
    <mergeCell ref="B5:C5"/>
    <mergeCell ref="A42:E42"/>
    <mergeCell ref="A47:E47"/>
    <mergeCell ref="A1:E1"/>
    <mergeCell ref="B3:E3"/>
    <mergeCell ref="A58:E58"/>
    <mergeCell ref="A56:E56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Q58"/>
  <sheetViews>
    <sheetView showGridLines="0" zoomScaleNormal="100" workbookViewId="0">
      <selection activeCell="I55" sqref="I55"/>
    </sheetView>
  </sheetViews>
  <sheetFormatPr baseColWidth="8" defaultColWidth="8.7109375" defaultRowHeight="15"/>
  <cols>
    <col width="22.42578125" customWidth="1" style="250" min="1" max="1"/>
    <col width="16" customWidth="1" style="250" min="2" max="5"/>
    <col width="37.28515625" customWidth="1" style="250" min="6" max="6"/>
    <col width="3" customWidth="1" style="250" min="7" max="7"/>
    <col width="41.140625" customWidth="1" style="250" min="8" max="8"/>
    <col width="18.28515625" customWidth="1" style="250" min="9" max="9"/>
    <col width="20.7109375" customWidth="1" style="250" min="10" max="10"/>
    <col width="3" customWidth="1" style="250" min="11" max="11"/>
    <col width="22.4" customWidth="1" style="250" min="12" max="12"/>
    <col width="14" customWidth="1" style="250" min="13" max="13"/>
    <col width="14" customWidth="1" style="250" min="14" max="14"/>
    <col width="14" customWidth="1" style="250" min="15" max="15"/>
    <col width="14" customWidth="1" style="250" min="16" max="16"/>
    <col width="16" customWidth="1" style="250" min="17" max="17"/>
  </cols>
  <sheetData>
    <row r="1" ht="27.75" customHeight="1" s="250">
      <c r="A1" s="223" t="inlineStr">
        <is>
          <t>BARRETT PLUMBING INC. — COMMERCIAL LABOR TABLES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2" t="n"/>
    </row>
    <row r="2" ht="15" customHeight="1" s="250">
      <c r="A2" s="224" t="inlineStr">
        <is>
          <t>Labor hours per LF and per unit. Blue cells = adjustable inputs. Based on commercial installation standards — adjust from actuals over time.</t>
        </is>
      </c>
    </row>
    <row r="4" ht="19.5" customHeight="1" s="250">
      <c r="A4" s="233" t="inlineStr">
        <is>
          <t>TABLE A — DWV PIPE INSTALLATION (Schedule 40 PVC)</t>
        </is>
      </c>
      <c r="B4" s="61" t="n"/>
      <c r="C4" s="61" t="n"/>
      <c r="D4" s="61" t="n"/>
      <c r="E4" s="61" t="n"/>
      <c r="F4" s="62" t="n"/>
      <c r="H4" s="225" t="inlineStr">
        <is>
          <t>Item</t>
        </is>
      </c>
      <c r="I4" s="225" t="inlineStr">
        <is>
          <t>Labor Hours Each</t>
        </is>
      </c>
      <c r="J4" s="225" t="inlineStr">
        <is>
          <t>Unit Material Cost ($)</t>
        </is>
      </c>
    </row>
    <row r="5" ht="27.75" customHeight="1" s="250">
      <c r="A5" s="225" t="inlineStr">
        <is>
          <t>Pipe Size</t>
        </is>
      </c>
      <c r="B5" s="35" t="inlineStr">
        <is>
          <t>Underground
(hrs/LF)</t>
        </is>
      </c>
      <c r="C5" s="35" t="inlineStr">
        <is>
          <t>In-Wall
(hrs/LF)</t>
        </is>
      </c>
      <c r="D5" s="35" t="inlineStr">
        <is>
          <t>Ceiling/Rafter
(hrs/LF)</t>
        </is>
      </c>
      <c r="E5" s="35" t="inlineStr">
        <is>
          <t>Unit Material
Cost ($/LF)</t>
        </is>
      </c>
      <c r="F5" s="225" t="inlineStr">
        <is>
          <t>Notes</t>
        </is>
      </c>
      <c r="H5" s="16" t="inlineStr">
        <is>
          <t>TABLE D — FIXTURE ROUGH-IN &amp; SET LABOR</t>
        </is>
      </c>
      <c r="I5" s="36" t="n"/>
      <c r="J5" s="36" t="n"/>
    </row>
    <row r="6" ht="27.75" customHeight="1" s="250">
      <c r="A6" s="85" t="inlineStr">
        <is>
          <t>6" Sch 40 PVC</t>
        </is>
      </c>
      <c r="B6" s="200" t="n">
        <v>0.14</v>
      </c>
      <c r="C6" s="200" t="n">
        <v>0.12</v>
      </c>
      <c r="D6" s="200" t="n">
        <v>0.16</v>
      </c>
      <c r="E6" s="199" t="n">
        <v>7.5</v>
      </c>
      <c r="F6" s="76" t="n"/>
      <c r="H6" s="16" t="n"/>
      <c r="I6" s="36" t="n"/>
      <c r="J6" s="36" t="n"/>
    </row>
    <row r="7" ht="15" customHeight="1" s="250">
      <c r="A7" s="249" t="inlineStr">
        <is>
          <t>4" Sch 40 PVC</t>
        </is>
      </c>
      <c r="B7" s="200" t="n">
        <v>0.13</v>
      </c>
      <c r="C7" s="200" t="n">
        <v>0.1</v>
      </c>
      <c r="D7" s="200" t="n">
        <v>0.16</v>
      </c>
      <c r="E7" s="200" t="n">
        <v>4.5</v>
      </c>
      <c r="F7" s="76" t="n"/>
      <c r="H7" s="249" t="inlineStr">
        <is>
          <t>Water Closet (flush valve) — Rough-In</t>
        </is>
      </c>
      <c r="I7" s="201" t="n">
        <v>3.5</v>
      </c>
      <c r="J7" s="201" t="n"/>
    </row>
    <row r="8" ht="15" customHeight="1" s="250">
      <c r="A8" s="249" t="inlineStr">
        <is>
          <t>3" Sch 40 PVC</t>
        </is>
      </c>
      <c r="B8" s="200" t="n">
        <v>0.12</v>
      </c>
      <c r="C8" s="200" t="n">
        <v>0.09</v>
      </c>
      <c r="D8" s="200" t="n">
        <v>0.16</v>
      </c>
      <c r="E8" s="200" t="n">
        <v>3.2</v>
      </c>
      <c r="F8" s="76" t="n"/>
      <c r="H8" s="249" t="inlineStr">
        <is>
          <t>Water Closet (flush valve) — Final Set</t>
        </is>
      </c>
      <c r="I8" s="201" t="n">
        <v>1.5</v>
      </c>
      <c r="J8" s="201" t="n"/>
    </row>
    <row r="9" ht="15" customHeight="1" s="250">
      <c r="A9" s="249" t="n"/>
      <c r="B9" s="200" t="n"/>
      <c r="C9" s="200" t="n"/>
      <c r="D9" s="200" t="n"/>
      <c r="E9" s="200" t="n"/>
      <c r="F9" s="76" t="n"/>
      <c r="H9" s="161" t="inlineStr">
        <is>
          <t>Water Closet (tank type) — Rough-In</t>
        </is>
      </c>
      <c r="I9" s="202" t="n">
        <v>2.5</v>
      </c>
      <c r="J9" s="201" t="n"/>
    </row>
    <row r="10" ht="15" customHeight="1" s="250">
      <c r="A10" s="249" t="n"/>
      <c r="B10" s="200" t="n"/>
      <c r="C10" s="200" t="n"/>
      <c r="D10" s="200" t="n"/>
      <c r="E10" s="200" t="n"/>
      <c r="F10" s="76" t="n"/>
      <c r="H10" s="161" t="inlineStr">
        <is>
          <t>Water Closet (tank type) — Final Set</t>
        </is>
      </c>
      <c r="I10" s="202" t="n">
        <v>1</v>
      </c>
      <c r="J10" s="201" t="n"/>
    </row>
    <row r="11" ht="15" customHeight="1" s="250">
      <c r="A11" s="249" t="inlineStr">
        <is>
          <t>2" Sch 40 PVC</t>
        </is>
      </c>
      <c r="B11" s="200" t="n">
        <v>0.11</v>
      </c>
      <c r="C11" s="200" t="n">
        <v>0.08</v>
      </c>
      <c r="D11" s="200" t="n">
        <v>0.16</v>
      </c>
      <c r="E11" s="200" t="n">
        <v>2.1</v>
      </c>
      <c r="F11" s="76" t="n"/>
      <c r="H11" s="249" t="inlineStr">
        <is>
          <t>Urinal — Rough-In</t>
        </is>
      </c>
      <c r="I11" s="201" t="n">
        <v>2.5</v>
      </c>
      <c r="J11" s="201" t="n"/>
    </row>
    <row r="12" ht="15" customHeight="1" s="250">
      <c r="A12" s="249" t="inlineStr">
        <is>
          <t>1-1/2" Sch 40 PVC</t>
        </is>
      </c>
      <c r="B12" s="200" t="n">
        <v>0.11</v>
      </c>
      <c r="C12" s="200" t="n">
        <v>0.07000000000000001</v>
      </c>
      <c r="D12" s="200" t="n">
        <v>0.16</v>
      </c>
      <c r="E12" s="200" t="n">
        <v>1.6</v>
      </c>
      <c r="F12" s="76" t="n"/>
      <c r="H12" s="249" t="inlineStr">
        <is>
          <t>Urinal — Final Set</t>
        </is>
      </c>
      <c r="I12" s="201" t="n">
        <v>1.5</v>
      </c>
      <c r="J12" s="201" t="n"/>
    </row>
    <row r="13" ht="15" customHeight="1" s="250">
      <c r="A13" s="249" t="inlineStr">
        <is>
          <t>1-1/4" Sch 40 PVC</t>
        </is>
      </c>
      <c r="B13" s="200" t="n">
        <v>0.11</v>
      </c>
      <c r="C13" s="200" t="n">
        <v>0.06</v>
      </c>
      <c r="D13" s="200" t="n">
        <v>0.16</v>
      </c>
      <c r="E13" s="200" t="n">
        <v>1.3</v>
      </c>
      <c r="F13" s="76" t="n"/>
      <c r="H13" s="249" t="inlineStr">
        <is>
          <t>Lavatory — Rough-In</t>
        </is>
      </c>
      <c r="I13" s="201" t="n">
        <v>2.5</v>
      </c>
      <c r="J13" s="201" t="n"/>
    </row>
    <row r="14" ht="15" customHeight="1" s="250">
      <c r="H14" s="249" t="inlineStr">
        <is>
          <t>Lavatory — Final Set</t>
        </is>
      </c>
      <c r="I14" s="201" t="n">
        <v>1.5</v>
      </c>
      <c r="J14" s="201" t="n"/>
    </row>
    <row r="15" ht="19.5" customHeight="1" s="250">
      <c r="A15" s="233" t="inlineStr">
        <is>
          <t>TABLE B — DOMESTIC WATER SUPPLY INSTALLATION</t>
        </is>
      </c>
      <c r="B15" s="61" t="n"/>
      <c r="C15" s="61" t="n"/>
      <c r="D15" s="61" t="n"/>
      <c r="E15" s="61" t="n"/>
      <c r="F15" s="62" t="n"/>
      <c r="H15" s="249" t="inlineStr">
        <is>
          <t>3-Compartment Sink — Rough-In</t>
        </is>
      </c>
      <c r="I15" s="201" t="n">
        <v>5</v>
      </c>
      <c r="J15" s="201" t="n"/>
      <c r="L15" s="233" t="inlineStr">
        <is>
          <t>TABLE B2 — WATER SUPPLY RATES IN USE (follows INPUT → Water Supply Pipe Material)</t>
        </is>
      </c>
      <c r="M15" s="61" t="n"/>
      <c r="N15" s="61" t="n"/>
      <c r="O15" s="61" t="n"/>
      <c r="P15" s="61" t="n"/>
      <c r="Q15" s="62" t="n"/>
    </row>
    <row r="16" ht="33.75" customHeight="1" s="250">
      <c r="A16" s="225" t="inlineStr">
        <is>
          <t>Pipe Size / Material</t>
        </is>
      </c>
      <c r="B16" s="35" t="inlineStr">
        <is>
          <t>Underground
(hrs/LF)</t>
        </is>
      </c>
      <c r="C16" s="35" t="inlineStr">
        <is>
          <t>In-Wall
(hrs/LF)</t>
        </is>
      </c>
      <c r="D16" s="35" t="inlineStr">
        <is>
          <t>Ceiling/Rafter
(hrs/LF)</t>
        </is>
      </c>
      <c r="E16" s="35" t="inlineStr">
        <is>
          <t>Unit Material
Cost ($/LF)</t>
        </is>
      </c>
      <c r="F16" s="225" t="inlineStr">
        <is>
          <t>Notes</t>
        </is>
      </c>
      <c r="H16" s="249" t="inlineStr">
        <is>
          <t>3-Compartment Sink — Final Set</t>
        </is>
      </c>
      <c r="I16" s="201" t="n">
        <v>3</v>
      </c>
      <c r="J16" s="201" t="n"/>
      <c r="L16" s="225" t="inlineStr">
        <is>
          <t>Pipe Size</t>
        </is>
      </c>
      <c r="M16" s="35" t="inlineStr">
        <is>
          <t>Underground
(hrs/LF)</t>
        </is>
      </c>
      <c r="N16" s="35" t="inlineStr">
        <is>
          <t>In-Wall
(hrs/LF)</t>
        </is>
      </c>
      <c r="O16" s="35" t="inlineStr">
        <is>
          <t>Ceiling/Rafter
(hrs/LF)</t>
        </is>
      </c>
      <c r="P16" s="35" t="inlineStr">
        <is>
          <t>Unit Material
Cost ($/LF)</t>
        </is>
      </c>
      <c r="Q16" s="225" t="inlineStr">
        <is>
          <t>Rates From</t>
        </is>
      </c>
    </row>
    <row r="17" ht="15" customHeight="1" s="250">
      <c r="A17" s="249" t="inlineStr">
        <is>
          <t>2" Type L Copper</t>
        </is>
      </c>
      <c r="B17" s="201" t="n">
        <v>0.12</v>
      </c>
      <c r="C17" s="201" t="n">
        <v>0.17</v>
      </c>
      <c r="D17" s="201" t="n">
        <v>0.18</v>
      </c>
      <c r="E17" s="201" t="n">
        <v>9.800000000000001</v>
      </c>
      <c r="F17" s="76" t="n"/>
      <c r="H17" s="249" t="inlineStr">
        <is>
          <t>Mop Sink / Service Sink</t>
        </is>
      </c>
      <c r="I17" s="201" t="n">
        <v>4</v>
      </c>
      <c r="J17" s="201" t="n"/>
      <c r="L17" s="249" t="inlineStr">
        <is>
          <t>2"</t>
        </is>
      </c>
      <c r="M17" s="270">
        <f>IF(INPUT!$E$12="Type K Copper",B23,B17)</f>
        <v/>
      </c>
      <c r="N17" s="270">
        <f>IF(INPUT!$E$12="Type K Copper",C23,C17)</f>
        <v/>
      </c>
      <c r="O17" s="270">
        <f>IF(INPUT!$E$12="Type K Copper",D23,D17)</f>
        <v/>
      </c>
      <c r="P17" s="270">
        <f>IF(INPUT!$E$12="Type K Copper",E23,E17)</f>
        <v/>
      </c>
      <c r="Q17" s="249">
        <f>IF(INPUT!$E$12="Type K Copper","Type K Copper","Type L Copper")</f>
        <v/>
      </c>
    </row>
    <row r="18" ht="15" customHeight="1" s="250">
      <c r="A18" s="249" t="inlineStr">
        <is>
          <t>1-1/2" Type L Copper</t>
        </is>
      </c>
      <c r="B18" s="201" t="n">
        <v>0.1</v>
      </c>
      <c r="C18" s="201" t="n">
        <v>0.16</v>
      </c>
      <c r="D18" s="201" t="n">
        <v>0.16</v>
      </c>
      <c r="E18" s="201" t="n">
        <v>7.2</v>
      </c>
      <c r="F18" s="76" t="n"/>
      <c r="H18" s="249" t="inlineStr">
        <is>
          <t>Floor Drain (2")</t>
        </is>
      </c>
      <c r="I18" s="201" t="n">
        <v>1.5</v>
      </c>
      <c r="J18" s="201" t="n"/>
      <c r="L18" s="249" t="inlineStr">
        <is>
          <t>1-1/2"</t>
        </is>
      </c>
      <c r="M18" s="270">
        <f>IF(INPUT!$E$12="Type K Copper",B24,B18)</f>
        <v/>
      </c>
      <c r="N18" s="270">
        <f>IF(INPUT!$E$12="Type K Copper",C24,C18)</f>
        <v/>
      </c>
      <c r="O18" s="270">
        <f>IF(INPUT!$E$12="Type K Copper",D24,D18)</f>
        <v/>
      </c>
      <c r="P18" s="270">
        <f>IF(INPUT!$E$12="Type K Copper",E24,E18)</f>
        <v/>
      </c>
      <c r="Q18" s="249">
        <f>IF(INPUT!$E$12="Type K Copper","Type K Copper","Type L Copper")</f>
        <v/>
      </c>
    </row>
    <row r="19" ht="15" customHeight="1" s="250">
      <c r="A19" s="249" t="inlineStr">
        <is>
          <t>1-1/4" Type L Copper</t>
        </is>
      </c>
      <c r="B19" s="201" t="n">
        <v>0.09</v>
      </c>
      <c r="C19" s="201" t="n">
        <v>0.15</v>
      </c>
      <c r="D19" s="201" t="n">
        <v>0.15</v>
      </c>
      <c r="E19" s="201" t="n">
        <v>5.8</v>
      </c>
      <c r="F19" s="76" t="n"/>
      <c r="H19" s="249" t="inlineStr">
        <is>
          <t>Floor Drain (3")</t>
        </is>
      </c>
      <c r="I19" s="201" t="n">
        <v>1.5</v>
      </c>
      <c r="J19" s="201" t="n"/>
      <c r="L19" s="249" t="inlineStr">
        <is>
          <t>1-1/4"</t>
        </is>
      </c>
      <c r="M19" s="270">
        <f>IF(INPUT!$E$12="Type K Copper",B25,B19)</f>
        <v/>
      </c>
      <c r="N19" s="270">
        <f>IF(INPUT!$E$12="Type K Copper",C25,C19)</f>
        <v/>
      </c>
      <c r="O19" s="270">
        <f>IF(INPUT!$E$12="Type K Copper",D25,D19)</f>
        <v/>
      </c>
      <c r="P19" s="270">
        <f>IF(INPUT!$E$12="Type K Copper",E25,E19)</f>
        <v/>
      </c>
      <c r="Q19" s="249">
        <f>IF(INPUT!$E$12="Type K Copper","Type K Copper","Type L Copper")</f>
        <v/>
      </c>
    </row>
    <row r="20" ht="15" customHeight="1" s="250">
      <c r="A20" s="249" t="inlineStr">
        <is>
          <t>1" Type L Copper</t>
        </is>
      </c>
      <c r="B20" s="201" t="n">
        <v>0.08</v>
      </c>
      <c r="C20" s="201" t="n">
        <v>0.15</v>
      </c>
      <c r="D20" s="201" t="n">
        <v>0.14</v>
      </c>
      <c r="E20" s="201" t="n">
        <v>4.5</v>
      </c>
      <c r="F20" s="76" t="n"/>
      <c r="H20" s="249" t="inlineStr">
        <is>
          <t>Floor Drain (4")</t>
        </is>
      </c>
      <c r="I20" s="201" t="n">
        <v>1.5</v>
      </c>
      <c r="J20" s="201" t="n"/>
      <c r="L20" s="249" t="inlineStr">
        <is>
          <t>1"</t>
        </is>
      </c>
      <c r="M20" s="270">
        <f>IF(INPUT!$E$12="PEX-B",B36,IF(INPUT!$E$12="Type K Copper",B26,B20))</f>
        <v/>
      </c>
      <c r="N20" s="270">
        <f>IF(INPUT!$E$12="PEX-B",C36,IF(INPUT!$E$12="Type K Copper",C26,C20))</f>
        <v/>
      </c>
      <c r="O20" s="270">
        <f>IF(INPUT!$E$12="PEX-B",D36,IF(INPUT!$E$12="Type K Copper",D26,D20))</f>
        <v/>
      </c>
      <c r="P20" s="270">
        <f>IF(INPUT!$E$12="PEX-B",E36,IF(INPUT!$E$12="Type K Copper",E26,E20))</f>
        <v/>
      </c>
      <c r="Q20" s="249">
        <f>IF(INPUT!$E$12="PEX-B","PEX-B",IF(INPUT!$E$12="Type K Copper","Type K Copper","Type L Copper"))</f>
        <v/>
      </c>
    </row>
    <row r="21" ht="15" customHeight="1" s="250">
      <c r="A21" s="249" t="inlineStr">
        <is>
          <t>3/4" Type L Copper</t>
        </is>
      </c>
      <c r="B21" s="201" t="n">
        <v>0.07000000000000001</v>
      </c>
      <c r="C21" s="201" t="n">
        <v>0.14</v>
      </c>
      <c r="D21" s="201" t="n">
        <v>0.12</v>
      </c>
      <c r="E21" s="201" t="n">
        <v>3.4</v>
      </c>
      <c r="F21" s="76" t="n"/>
      <c r="H21" s="249" t="inlineStr">
        <is>
          <t>Floor Sink</t>
        </is>
      </c>
      <c r="I21" s="201" t="n">
        <v>2</v>
      </c>
      <c r="J21" s="201" t="n"/>
      <c r="L21" s="249" t="inlineStr">
        <is>
          <t>3/4"</t>
        </is>
      </c>
      <c r="M21" s="270">
        <f>IF(INPUT!$E$12="PEX-B",B37,IF(INPUT!$E$12="Type K Copper",B27,B21))</f>
        <v/>
      </c>
      <c r="N21" s="270">
        <f>IF(INPUT!$E$12="PEX-B",C37,IF(INPUT!$E$12="Type K Copper",C27,C21))</f>
        <v/>
      </c>
      <c r="O21" s="270">
        <f>IF(INPUT!$E$12="PEX-B",D37,IF(INPUT!$E$12="Type K Copper",D27,D21))</f>
        <v/>
      </c>
      <c r="P21" s="270">
        <f>IF(INPUT!$E$12="PEX-B",E37,IF(INPUT!$E$12="Type K Copper",E27,E21))</f>
        <v/>
      </c>
      <c r="Q21" s="249">
        <f>IF(INPUT!$E$12="PEX-B","PEX-B",IF(INPUT!$E$12="Type K Copper","Type K Copper","Type L Copper"))</f>
        <v/>
      </c>
    </row>
    <row r="22" ht="15" customHeight="1" s="250">
      <c r="A22" s="249" t="inlineStr">
        <is>
          <t>1/2" Type L Copper</t>
        </is>
      </c>
      <c r="B22" s="201" t="n">
        <v>0.06</v>
      </c>
      <c r="C22" s="201" t="n">
        <v>0.14</v>
      </c>
      <c r="D22" s="201" t="n">
        <v>0.12</v>
      </c>
      <c r="E22" s="201" t="n">
        <v>2.6</v>
      </c>
      <c r="F22" s="76" t="n"/>
      <c r="H22" s="249" t="inlineStr">
        <is>
          <t>Drinking Fountain — Rough-In</t>
        </is>
      </c>
      <c r="I22" s="201" t="n">
        <v>2.5</v>
      </c>
      <c r="J22" s="201" t="n"/>
      <c r="L22" s="249" t="inlineStr">
        <is>
          <t>1/2"</t>
        </is>
      </c>
      <c r="M22" s="270">
        <f>IF(INPUT!$E$12="PEX-B",B38,IF(INPUT!$E$12="Type K Copper",B28,B22))</f>
        <v/>
      </c>
      <c r="N22" s="270">
        <f>IF(INPUT!$E$12="PEX-B",C38,IF(INPUT!$E$12="Type K Copper",C28,C22))</f>
        <v/>
      </c>
      <c r="O22" s="270">
        <f>IF(INPUT!$E$12="PEX-B",D38,IF(INPUT!$E$12="Type K Copper",D28,D22))</f>
        <v/>
      </c>
      <c r="P22" s="270">
        <f>IF(INPUT!$E$12="PEX-B",E38,IF(INPUT!$E$12="Type K Copper",E28,E22))</f>
        <v/>
      </c>
      <c r="Q22" s="249">
        <f>IF(INPUT!$E$12="PEX-B","PEX-B",IF(INPUT!$E$12="Type K Copper","Type K Copper","Type L Copper"))</f>
        <v/>
      </c>
    </row>
    <row r="23" ht="27" customHeight="1" s="250">
      <c r="A23" s="249" t="inlineStr">
        <is>
          <t>2" Type K Copper</t>
        </is>
      </c>
      <c r="B23" s="201" t="n">
        <v>0.12</v>
      </c>
      <c r="C23" s="201" t="n">
        <v>0.17</v>
      </c>
      <c r="D23" s="201" t="n">
        <v>0.18</v>
      </c>
      <c r="E23" s="201" t="n">
        <v>12</v>
      </c>
      <c r="F23" s="76" t="n"/>
      <c r="H23" s="249" t="inlineStr">
        <is>
          <t>Drinking Fountain — Final Set</t>
        </is>
      </c>
      <c r="I23" s="201" t="n">
        <v>1.5</v>
      </c>
      <c r="J23" s="201" t="n"/>
      <c r="L23" s="271" t="inlineStr">
        <is>
          <t>PEX-B has no rates above 1" — those sizes use Type L copper. PIPE ESTIMATE water sections pull their rates from this table.</t>
        </is>
      </c>
    </row>
    <row r="24" ht="15" customHeight="1" s="250">
      <c r="A24" s="249" t="inlineStr">
        <is>
          <t>1-1/2" Type K Copper</t>
        </is>
      </c>
      <c r="B24" s="201" t="n">
        <v>0.1</v>
      </c>
      <c r="C24" s="201" t="n">
        <v>0.16</v>
      </c>
      <c r="D24" s="201" t="n">
        <v>0.16</v>
      </c>
      <c r="E24" s="201" t="n">
        <v>8.5</v>
      </c>
      <c r="F24" s="76" t="n"/>
      <c r="H24" s="249" t="inlineStr">
        <is>
          <t>Emergency Eyewash / Shower</t>
        </is>
      </c>
      <c r="I24" s="201" t="n">
        <v>3</v>
      </c>
      <c r="J24" s="201" t="n"/>
    </row>
    <row r="25" ht="15" customHeight="1" s="250">
      <c r="A25" s="249" t="inlineStr">
        <is>
          <t>1-1/4" Type K Copper</t>
        </is>
      </c>
      <c r="B25" s="201" t="n">
        <v>0.09</v>
      </c>
      <c r="C25" s="201" t="n">
        <v>0.15</v>
      </c>
      <c r="D25" s="201" t="n">
        <v>0.15</v>
      </c>
      <c r="E25" s="201" t="n">
        <v>7</v>
      </c>
      <c r="F25" s="76" t="n"/>
      <c r="H25" s="249" t="inlineStr">
        <is>
          <t>Hose Bib — Commercial</t>
        </is>
      </c>
      <c r="I25" s="201" t="n">
        <v>1</v>
      </c>
      <c r="J25" s="201" t="n"/>
    </row>
    <row r="26" ht="15" customHeight="1" s="250">
      <c r="A26" s="249" t="inlineStr">
        <is>
          <t>1" Type K Copper</t>
        </is>
      </c>
      <c r="B26" s="201" t="n">
        <v>0.08</v>
      </c>
      <c r="C26" s="201" t="n">
        <v>0.15</v>
      </c>
      <c r="D26" s="201" t="n">
        <v>0.14</v>
      </c>
      <c r="E26" s="201" t="n">
        <v>5.5</v>
      </c>
      <c r="F26" s="76" t="n"/>
      <c r="H26" s="161" t="inlineStr">
        <is>
          <t>Wall Hydrant (non-freeze)</t>
        </is>
      </c>
      <c r="I26" s="202" t="n">
        <v>2</v>
      </c>
      <c r="J26" s="201" t="n"/>
    </row>
    <row r="27" ht="15" customHeight="1" s="250">
      <c r="A27" s="249" t="inlineStr">
        <is>
          <t>3/4" Type K Copper</t>
        </is>
      </c>
      <c r="B27" s="201" t="n">
        <v>0.07000000000000001</v>
      </c>
      <c r="C27" s="201" t="n">
        <v>0.14</v>
      </c>
      <c r="D27" s="201" t="n">
        <v>0.12</v>
      </c>
      <c r="E27" s="201" t="n">
        <v>4.5</v>
      </c>
      <c r="F27" s="76" t="n"/>
      <c r="H27" s="161" t="inlineStr">
        <is>
          <t>Lavatory (Group / Multiple) — Rough-In + Set</t>
        </is>
      </c>
      <c r="I27" s="202" t="n">
        <v>3</v>
      </c>
      <c r="J27" s="201" t="n"/>
    </row>
    <row r="28" ht="15" customHeight="1" s="250">
      <c r="A28" s="249" t="inlineStr">
        <is>
          <t>1/2" Type K Copper</t>
        </is>
      </c>
      <c r="B28" s="201" t="n">
        <v>0.06</v>
      </c>
      <c r="C28" s="201" t="n">
        <v>0.14</v>
      </c>
      <c r="D28" s="201" t="n">
        <v>0.12</v>
      </c>
      <c r="E28" s="201" t="n">
        <v>3.8</v>
      </c>
      <c r="F28" s="76" t="n"/>
      <c r="H28" s="161" t="inlineStr">
        <is>
          <t>Prep Sink / Hand Sink — Rough-In + Set</t>
        </is>
      </c>
      <c r="I28" s="202" t="n">
        <v>5</v>
      </c>
      <c r="J28" s="201" t="n"/>
    </row>
    <row r="29" ht="15" customHeight="1" s="250">
      <c r="A29" s="249" t="n"/>
      <c r="B29" s="25" t="n"/>
      <c r="C29" s="25" t="n"/>
      <c r="D29" s="25" t="n"/>
      <c r="E29" s="25" t="n"/>
      <c r="F29" s="76" t="n"/>
      <c r="H29" s="161" t="inlineStr">
        <is>
          <t>Kitchen Sink (Double Basin) — Rough-In + Set</t>
        </is>
      </c>
      <c r="I29" s="202" t="n">
        <v>10</v>
      </c>
      <c r="J29" s="201" t="n"/>
    </row>
    <row r="30" ht="15" customHeight="1" s="250">
      <c r="A30" s="249" t="n"/>
      <c r="B30" s="25" t="n"/>
      <c r="C30" s="25" t="n"/>
      <c r="D30" s="25" t="n"/>
      <c r="E30" s="25" t="n"/>
      <c r="F30" s="76" t="n"/>
      <c r="H30" s="161" t="inlineStr">
        <is>
          <t>Kitchen Sink (Single Basin) — Rough-In + Set</t>
        </is>
      </c>
      <c r="I30" s="202" t="n">
        <v>8</v>
      </c>
      <c r="J30" s="201" t="n"/>
    </row>
    <row r="31" ht="15" customHeight="1" s="250">
      <c r="A31" s="249" t="n"/>
      <c r="B31" s="25" t="n"/>
      <c r="C31" s="25" t="n"/>
      <c r="D31" s="25" t="n"/>
      <c r="E31" s="25" t="n"/>
      <c r="F31" s="76" t="n"/>
      <c r="H31" s="161" t="inlineStr">
        <is>
          <t>Commercial Dishwasher Connection</t>
        </is>
      </c>
      <c r="I31" s="202" t="n">
        <v>1.5</v>
      </c>
      <c r="J31" s="201" t="n"/>
    </row>
    <row r="32" ht="15" customHeight="1" s="250">
      <c r="A32" s="249" t="n"/>
      <c r="B32" s="25" t="n"/>
      <c r="C32" s="25" t="n"/>
      <c r="D32" s="25" t="n"/>
      <c r="E32" s="25" t="n"/>
      <c r="F32" s="76" t="n"/>
      <c r="H32" s="161" t="inlineStr">
        <is>
          <t>Ice Maker Connection</t>
        </is>
      </c>
      <c r="I32" s="202" t="n">
        <v>1.5</v>
      </c>
      <c r="J32" s="201" t="n"/>
    </row>
    <row r="33" ht="15" customHeight="1" s="250">
      <c r="A33" s="249" t="n"/>
      <c r="B33" s="25" t="n"/>
      <c r="C33" s="25" t="n"/>
      <c r="D33" s="25" t="n"/>
      <c r="E33" s="25" t="n"/>
      <c r="F33" s="76" t="n"/>
      <c r="H33" s="161" t="inlineStr">
        <is>
          <t>Roof Drain</t>
        </is>
      </c>
      <c r="I33" s="202" t="n">
        <v>2</v>
      </c>
      <c r="J33" s="201" t="n"/>
    </row>
    <row r="34" ht="15" customHeight="1" s="250">
      <c r="A34" s="249" t="n"/>
      <c r="B34" s="25" t="n"/>
      <c r="C34" s="25" t="n"/>
      <c r="D34" s="25" t="n"/>
      <c r="E34" s="25" t="n"/>
      <c r="F34" s="76" t="n"/>
      <c r="H34" s="161" t="inlineStr">
        <is>
          <t>Cleanout (Double / 2-Way)</t>
        </is>
      </c>
      <c r="I34" s="202" t="n">
        <v>1</v>
      </c>
      <c r="J34" s="201" t="n"/>
    </row>
    <row r="35" ht="15" customHeight="1" s="250">
      <c r="A35" s="249" t="n"/>
      <c r="B35" s="25" t="n"/>
      <c r="C35" s="25" t="n"/>
      <c r="D35" s="25" t="n"/>
      <c r="E35" s="25" t="n"/>
      <c r="F35" s="76" t="n"/>
      <c r="H35" s="16" t="inlineStr">
        <is>
          <t>TABLE E — SPECIALTY EQUIPMENT LABOR</t>
        </is>
      </c>
      <c r="I35" s="203" t="n"/>
      <c r="J35" s="203" t="n"/>
    </row>
    <row r="36" ht="15" customHeight="1" s="250">
      <c r="A36" s="249" t="inlineStr">
        <is>
          <t>1" PEX-B</t>
        </is>
      </c>
      <c r="B36" s="201" t="n">
        <v>0.06</v>
      </c>
      <c r="C36" s="201" t="n">
        <v>0.12</v>
      </c>
      <c r="D36" s="201" t="n">
        <v>0.12</v>
      </c>
      <c r="E36" s="201" t="n">
        <v>1.8</v>
      </c>
      <c r="F36" s="76" t="n"/>
      <c r="H36" s="249" t="inlineStr">
        <is>
          <t>Grease Interceptor (indoor)</t>
        </is>
      </c>
      <c r="I36" s="201" t="n">
        <v>6</v>
      </c>
      <c r="J36" s="201" t="n"/>
    </row>
    <row r="37" ht="15" customHeight="1" s="250">
      <c r="A37" s="249" t="inlineStr">
        <is>
          <t>3/4" PEX-B</t>
        </is>
      </c>
      <c r="B37" s="201" t="n">
        <v>0.05</v>
      </c>
      <c r="C37" s="201" t="n">
        <v>0.12</v>
      </c>
      <c r="D37" s="201" t="n">
        <v>0.12</v>
      </c>
      <c r="E37" s="201" t="n">
        <v>1.2</v>
      </c>
      <c r="F37" s="76" t="n"/>
      <c r="H37" s="249" t="inlineStr">
        <is>
          <t>Grease Interceptor (exterior / in-ground)</t>
        </is>
      </c>
      <c r="I37" s="201" t="n">
        <v>12</v>
      </c>
      <c r="J37" s="201" t="n"/>
    </row>
    <row r="38" ht="15" customHeight="1" s="250">
      <c r="A38" s="249" t="inlineStr">
        <is>
          <t>1/2" PEX-B</t>
        </is>
      </c>
      <c r="B38" s="201" t="n">
        <v>0.04</v>
      </c>
      <c r="C38" s="201" t="n">
        <v>0.12</v>
      </c>
      <c r="D38" s="201" t="n">
        <v>0.12</v>
      </c>
      <c r="E38" s="201" t="n">
        <v>0.85</v>
      </c>
      <c r="F38" s="76" t="n"/>
      <c r="H38" s="249" t="inlineStr">
        <is>
          <t>RPZ Backflow Preventer (1" and under)</t>
        </is>
      </c>
      <c r="I38" s="201" t="n">
        <v>3.5</v>
      </c>
      <c r="J38" s="201" t="n"/>
    </row>
    <row r="39" ht="15" customHeight="1" s="250">
      <c r="H39" s="249" t="inlineStr">
        <is>
          <t>RPZ Backflow Preventer (1-1/4" – 2")</t>
        </is>
      </c>
      <c r="I39" s="201" t="n">
        <v>5</v>
      </c>
      <c r="J39" s="201" t="n"/>
    </row>
    <row r="40" ht="19.5" customHeight="1" s="250">
      <c r="A40" s="233" t="inlineStr">
        <is>
          <t>TABLE C — COMPRESSED AIR (Black Iron)</t>
        </is>
      </c>
      <c r="B40" s="61" t="n"/>
      <c r="C40" s="61" t="n"/>
      <c r="D40" s="61" t="n"/>
      <c r="E40" s="61" t="n"/>
      <c r="F40" s="62" t="n"/>
      <c r="H40" s="249" t="inlineStr">
        <is>
          <t>PRV Station (complete)</t>
        </is>
      </c>
      <c r="I40" s="201" t="n">
        <v>4</v>
      </c>
      <c r="J40" s="201" t="n"/>
    </row>
    <row r="41" ht="30" customHeight="1" s="250">
      <c r="A41" s="225" t="inlineStr">
        <is>
          <t>Pipe Size</t>
        </is>
      </c>
      <c r="B41" s="35" t="inlineStr">
        <is>
          <t>Underground
(hrs/LF)</t>
        </is>
      </c>
      <c r="C41" s="35" t="inlineStr">
        <is>
          <t>In-Wall
(hrs/LF)</t>
        </is>
      </c>
      <c r="D41" s="35" t="inlineStr">
        <is>
          <t>Ceiling/Rafter
(hrs/LF)</t>
        </is>
      </c>
      <c r="E41" s="35" t="inlineStr">
        <is>
          <t>Unit Material
Cost ($/LF)</t>
        </is>
      </c>
      <c r="F41" s="225" t="inlineStr">
        <is>
          <t>Notes</t>
        </is>
      </c>
      <c r="H41" s="249" t="inlineStr">
        <is>
          <t>Expansion Tank (up to 50 gal)</t>
        </is>
      </c>
      <c r="I41" s="201" t="n">
        <v>1.5</v>
      </c>
      <c r="J41" s="201" t="n"/>
    </row>
    <row r="42" ht="15" customHeight="1" s="250">
      <c r="A42" s="249" t="inlineStr">
        <is>
          <t>2" Black Iron</t>
        </is>
      </c>
      <c r="B42" s="201" t="n">
        <v>0.2</v>
      </c>
      <c r="C42" s="201" t="n">
        <v>0.18</v>
      </c>
      <c r="D42" s="201" t="n">
        <v>0.4</v>
      </c>
      <c r="E42" s="201" t="n">
        <v>7.5</v>
      </c>
      <c r="F42" s="76" t="inlineStr">
        <is>
          <t>Includes fittings allowance</t>
        </is>
      </c>
      <c r="H42" s="249" t="inlineStr">
        <is>
          <t>Commercial Water Heater (tank)</t>
        </is>
      </c>
      <c r="I42" s="201" t="n">
        <v>4</v>
      </c>
      <c r="J42" s="201" t="n"/>
    </row>
    <row r="43" ht="15" customHeight="1" s="250">
      <c r="A43" s="249" t="inlineStr">
        <is>
          <t>1-1/2" Black Iron</t>
        </is>
      </c>
      <c r="B43" s="201" t="n">
        <v>0.15</v>
      </c>
      <c r="C43" s="201" t="n">
        <v>0.15</v>
      </c>
      <c r="D43" s="201" t="n">
        <v>0.4</v>
      </c>
      <c r="E43" s="201" t="n">
        <v>5.8</v>
      </c>
      <c r="F43" s="76" t="n"/>
      <c r="H43" s="249" t="inlineStr">
        <is>
          <t>Tankless Water Heater (commercial)</t>
        </is>
      </c>
      <c r="I43" s="201" t="n">
        <v>10</v>
      </c>
      <c r="J43" s="201" t="n"/>
    </row>
    <row r="44" ht="15" customHeight="1" s="250">
      <c r="A44" s="249" t="n"/>
      <c r="B44" s="201" t="n"/>
      <c r="C44" s="201" t="n"/>
      <c r="D44" s="201" t="n"/>
      <c r="E44" s="201" t="n"/>
      <c r="F44" s="76" t="n"/>
      <c r="H44" s="161" t="inlineStr">
        <is>
          <t>Water Heater Drain / Relief Valve</t>
        </is>
      </c>
      <c r="I44" s="202" t="n">
        <v>1.5</v>
      </c>
      <c r="J44" s="201" t="n"/>
    </row>
    <row r="45" ht="15" customHeight="1" s="250">
      <c r="A45" s="249" t="n"/>
      <c r="B45" s="201" t="n"/>
      <c r="C45" s="201" t="n"/>
      <c r="D45" s="201" t="n"/>
      <c r="E45" s="201" t="n"/>
      <c r="F45" s="76" t="n"/>
      <c r="H45" s="161" t="inlineStr">
        <is>
          <t>Trap Primer Valve (per valve)</t>
        </is>
      </c>
      <c r="I45" s="202" t="n">
        <v>1</v>
      </c>
      <c r="J45" s="201" t="n"/>
    </row>
    <row r="46" ht="15" customHeight="1" s="250">
      <c r="A46" s="249" t="n"/>
      <c r="B46" s="201" t="n"/>
      <c r="C46" s="201" t="n"/>
      <c r="D46" s="201" t="n"/>
      <c r="E46" s="201" t="n"/>
      <c r="F46" s="76" t="n"/>
      <c r="H46" s="161" t="inlineStr">
        <is>
          <t>Mixing Valve / TMV (Tempering)</t>
        </is>
      </c>
      <c r="I46" s="202" t="n">
        <v>2</v>
      </c>
      <c r="J46" s="201" t="n"/>
    </row>
    <row r="47" ht="15" customHeight="1" s="250">
      <c r="A47" s="249" t="n"/>
      <c r="B47" s="201" t="n"/>
      <c r="C47" s="201" t="n"/>
      <c r="D47" s="201" t="n"/>
      <c r="E47" s="201" t="n"/>
      <c r="F47" s="76" t="n"/>
      <c r="H47" s="161" t="inlineStr">
        <is>
          <t>Hot Water Recirculation Pump</t>
        </is>
      </c>
      <c r="I47" s="202" t="n">
        <v>3</v>
      </c>
      <c r="J47" s="201" t="n"/>
    </row>
    <row r="48" ht="15" customHeight="1" s="250">
      <c r="A48" s="249" t="inlineStr">
        <is>
          <t>1" Black Iron</t>
        </is>
      </c>
      <c r="B48" s="201" t="n">
        <v>0.14</v>
      </c>
      <c r="C48" s="201" t="n">
        <v>0.15</v>
      </c>
      <c r="D48" s="201" t="n">
        <v>0.3</v>
      </c>
      <c r="E48" s="201" t="n">
        <v>4.2</v>
      </c>
      <c r="F48" s="76" t="n"/>
      <c r="H48" s="16" t="inlineStr">
        <is>
          <t>TABLE F — HANGER SYSTEMS LABOR</t>
        </is>
      </c>
      <c r="I48" s="203" t="n"/>
      <c r="J48" s="203" t="n"/>
    </row>
    <row r="49" ht="15" customHeight="1" s="250">
      <c r="A49" s="249" t="inlineStr">
        <is>
          <t>3/4" Black Iron</t>
        </is>
      </c>
      <c r="B49" s="201" t="n">
        <v>0.13</v>
      </c>
      <c r="C49" s="201" t="n">
        <v>0.12</v>
      </c>
      <c r="D49" s="201" t="n">
        <v>0.3</v>
      </c>
      <c r="E49" s="201" t="n">
        <v>3.1</v>
      </c>
      <c r="F49" s="76" t="n"/>
      <c r="H49" s="249" t="inlineStr">
        <is>
          <t>Single Clevis Hanger — Install</t>
        </is>
      </c>
      <c r="I49" s="201" t="n">
        <v>0.25</v>
      </c>
      <c r="J49" s="201" t="n"/>
    </row>
    <row r="50" ht="15" customHeight="1" s="250">
      <c r="A50" s="249" t="inlineStr">
        <is>
          <t>1/2" Black Iron</t>
        </is>
      </c>
      <c r="B50" s="201" t="n">
        <v>0.13</v>
      </c>
      <c r="C50" s="201" t="n">
        <v>0.12</v>
      </c>
      <c r="D50" s="201" t="n">
        <v>0.3</v>
      </c>
      <c r="E50" s="201" t="n">
        <v>2.4</v>
      </c>
      <c r="F50" s="76" t="n"/>
      <c r="H50" s="249" t="inlineStr">
        <is>
          <t>Trapeze Assembly (2-pipe) — Install</t>
        </is>
      </c>
      <c r="I50" s="201" t="n">
        <v>0.75</v>
      </c>
      <c r="J50" s="201" t="n"/>
    </row>
    <row r="51" ht="15" customHeight="1" s="250">
      <c r="H51" s="249" t="inlineStr">
        <is>
          <t>Trapeze Assembly (3+ pipe) — Install</t>
        </is>
      </c>
      <c r="I51" s="201" t="n">
        <v>1.25</v>
      </c>
      <c r="J51" s="201" t="n"/>
    </row>
    <row r="52" ht="15" customHeight="1" s="250">
      <c r="H52" s="249" t="inlineStr">
        <is>
          <t>Threaded Rod (per LF installed)</t>
        </is>
      </c>
      <c r="I52" s="201" t="n">
        <v>0.1</v>
      </c>
      <c r="J52" s="201" t="n"/>
    </row>
    <row r="53" ht="15" customHeight="1" s="250">
      <c r="H53" s="249" t="inlineStr">
        <is>
          <t>Beam Clamp — Install</t>
        </is>
      </c>
      <c r="I53" s="201" t="n">
        <v>0.2</v>
      </c>
      <c r="J53" s="201" t="n"/>
    </row>
    <row r="54" ht="15" customHeight="1" s="250">
      <c r="H54" s="16" t="inlineStr">
        <is>
          <t>TABLE G — PRESSURE TESTING LABOR</t>
        </is>
      </c>
      <c r="I54" s="203" t="n"/>
      <c r="J54" s="203" t="n"/>
    </row>
    <row r="55" ht="15" customHeight="1" s="250">
      <c r="H55" s="249" t="inlineStr">
        <is>
          <t>DWV System — Air Test (per zone)</t>
        </is>
      </c>
      <c r="I55" s="201" t="n">
        <v>2</v>
      </c>
      <c r="J55" s="201" t="n"/>
    </row>
    <row r="56" ht="15" customHeight="1" s="250">
      <c r="H56" s="249" t="inlineStr">
        <is>
          <t>Water Supply — Hydrostatic Test (per zone)</t>
        </is>
      </c>
      <c r="I56" s="201" t="n">
        <v>1.5</v>
      </c>
      <c r="J56" s="201" t="n"/>
    </row>
    <row r="57" ht="15" customHeight="1" s="250">
      <c r="H57" s="249" t="inlineStr">
        <is>
          <t>Compressed Air — Pressure Test (per zone)</t>
        </is>
      </c>
      <c r="I57" s="201" t="n">
        <v>2.5</v>
      </c>
      <c r="J57" s="201" t="n"/>
    </row>
    <row r="58" ht="15" customHeight="1" s="250">
      <c r="H58" s="249" t="inlineStr">
        <is>
          <t>Final Inspection Attendance (per visit)</t>
        </is>
      </c>
      <c r="I58" s="201" t="n">
        <v>2</v>
      </c>
      <c r="J58" s="201" t="n"/>
    </row>
  </sheetData>
  <mergeCells count="7">
    <mergeCell ref="A1:J1"/>
    <mergeCell ref="L15:Q15"/>
    <mergeCell ref="L23:Q23"/>
    <mergeCell ref="A40:F40"/>
    <mergeCell ref="A4:F4"/>
    <mergeCell ref="A2:J2"/>
    <mergeCell ref="A15:F15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F54"/>
  <sheetViews>
    <sheetView showGridLines="0" zoomScaleNormal="100" workbookViewId="0">
      <selection activeCell="C6" sqref="C6"/>
    </sheetView>
  </sheetViews>
  <sheetFormatPr baseColWidth="8" defaultColWidth="8.7109375" defaultRowHeight="15"/>
  <cols>
    <col width="39.5703125" bestFit="1" customWidth="1" style="250" min="1" max="1"/>
    <col width="14" customWidth="1" style="72" min="2" max="4"/>
    <col width="16" customWidth="1" style="250" min="5" max="6"/>
  </cols>
  <sheetData>
    <row r="1" ht="27.75" customHeight="1" s="250">
      <c r="A1" s="223" t="inlineStr">
        <is>
          <t>BARRETT PLUMBING INC. — FIXTURE &amp; SPECIALTY LABOR ESTIMATE</t>
        </is>
      </c>
      <c r="B1" s="61" t="n"/>
      <c r="C1" s="61" t="n"/>
      <c r="D1" s="61" t="n"/>
      <c r="E1" s="61" t="n"/>
      <c r="F1" s="62" t="n"/>
    </row>
    <row r="2" ht="15" customHeight="1" s="250">
      <c r="A2" s="224" t="inlineStr">
        <is>
          <t>Quantities pull from FIXTURE SCHEDULE. Labor hours pull from LABOR TABLES Table D &amp; E. Override quantities in blue cells if different from fixture schedule.</t>
        </is>
      </c>
    </row>
    <row r="4" ht="25.5" customFormat="1" customHeight="1" s="77">
      <c r="A4" s="35" t="inlineStr">
        <is>
          <t>Fixture / Item</t>
        </is>
      </c>
      <c r="B4" s="35" t="inlineStr">
        <is>
          <t>Qty (from Schedule)</t>
        </is>
      </c>
      <c r="C4" s="35" t="inlineStr">
        <is>
          <t>Labor Hrs Each</t>
        </is>
      </c>
      <c r="D4" s="35" t="inlineStr">
        <is>
          <t>TOTAL Labor Hrs</t>
        </is>
      </c>
      <c r="E4" s="35" t="inlineStr">
        <is>
          <t>Labor Cost ($)</t>
        </is>
      </c>
      <c r="F4" s="35" t="inlineStr">
        <is>
          <t>Notes</t>
        </is>
      </c>
    </row>
    <row r="5" ht="15" customHeight="1" s="250">
      <c r="A5" s="36" t="inlineStr">
        <is>
          <t>── RESTROOM FIXTURES ──</t>
        </is>
      </c>
      <c r="B5" s="78" t="n"/>
      <c r="C5" s="78" t="n"/>
      <c r="D5" s="78" t="n"/>
      <c r="E5" s="36" t="n"/>
      <c r="F5" s="36" t="n"/>
    </row>
    <row r="6" ht="15" customHeight="1" s="250">
      <c r="A6" s="249" t="inlineStr">
        <is>
          <t>Water Closet (Flush Valve) — Rough-In + Set</t>
        </is>
      </c>
      <c r="B6" s="139">
        <f>'FIXTURE SCHEDULE'!G6</f>
        <v/>
      </c>
      <c r="C6" s="140">
        <f>('LABOR TABLES'!I7+'LABOR TABLES'!I8)*SETTINGS!$B$17</f>
        <v/>
      </c>
      <c r="D6" s="141">
        <f>B6*C6</f>
        <v/>
      </c>
      <c r="E6" s="31">
        <f>D6*SETTINGS!$B$11</f>
        <v/>
      </c>
      <c r="F6" s="192" t="n"/>
    </row>
    <row r="7" ht="15" customHeight="1" s="250">
      <c r="A7" s="249" t="inlineStr">
        <is>
          <t>Urinal (Flush Valve) — Rough-In + Set</t>
        </is>
      </c>
      <c r="B7" s="139">
        <f>'FIXTURE SCHEDULE'!G8</f>
        <v/>
      </c>
      <c r="C7" s="140">
        <f>('LABOR TABLES'!I11+'LABOR TABLES'!I12)*SETTINGS!$B$17</f>
        <v/>
      </c>
      <c r="D7" s="141">
        <f>B7*C7</f>
        <v/>
      </c>
      <c r="E7" s="31">
        <f>D7*SETTINGS!$B$11</f>
        <v/>
      </c>
      <c r="F7" s="192" t="n"/>
    </row>
    <row r="8" ht="15" customHeight="1" s="250">
      <c r="A8" s="126" t="inlineStr">
        <is>
          <t>Lavatory (Single) — Rough-In + Set</t>
        </is>
      </c>
      <c r="B8" s="174">
        <f>'FIXTURE SCHEDULE'!G9</f>
        <v/>
      </c>
      <c r="C8" s="175">
        <f>('LABOR TABLES'!I13+'LABOR TABLES'!I14)*SETTINGS!$B$17</f>
        <v/>
      </c>
      <c r="D8" s="176">
        <f>B8*C8</f>
        <v/>
      </c>
      <c r="E8" s="137">
        <f>D8*SETTINGS!$B$11</f>
        <v/>
      </c>
      <c r="F8" s="192" t="n"/>
    </row>
    <row r="9" ht="15" customHeight="1" s="250">
      <c r="A9" s="161" t="inlineStr">
        <is>
          <t>Water Closet (Tank Type) — Rough-In + Set</t>
        </is>
      </c>
      <c r="B9" s="168">
        <f>'FIXTURE SCHEDULE'!G7</f>
        <v/>
      </c>
      <c r="C9" s="169">
        <f>('LABOR TABLES'!I9+'LABOR TABLES'!I10)*SETTINGS!$B$17</f>
        <v/>
      </c>
      <c r="D9" s="170">
        <f>B9*C9</f>
        <v/>
      </c>
      <c r="E9" s="171">
        <f>D9*SETTINGS!$B$11</f>
        <v/>
      </c>
      <c r="F9" s="63" t="n"/>
    </row>
    <row r="10" ht="15" customHeight="1" s="250">
      <c r="A10" s="161" t="inlineStr">
        <is>
          <t>Lavatory (Group / Multiple) — Rough-In + Set</t>
        </is>
      </c>
      <c r="B10" s="168">
        <f>'FIXTURE SCHEDULE'!G10</f>
        <v/>
      </c>
      <c r="C10" s="169">
        <f>'LABOR TABLES'!I27*SETTINGS!$B$17</f>
        <v/>
      </c>
      <c r="D10" s="170">
        <f>B10*C10</f>
        <v/>
      </c>
      <c r="E10" s="171">
        <f>D10*SETTINGS!$B$11</f>
        <v/>
      </c>
      <c r="F10" s="63" t="n"/>
    </row>
    <row r="11" ht="15" customHeight="1" s="250">
      <c r="A11" s="172" t="inlineStr">
        <is>
          <t>── KITCHEN / FOOD SERVICE ──</t>
        </is>
      </c>
      <c r="B11" s="173" t="n"/>
      <c r="C11" s="173" t="n"/>
      <c r="D11" s="173" t="n"/>
      <c r="E11" s="172" t="n"/>
      <c r="F11" s="172" t="n"/>
    </row>
    <row r="12" ht="15" customHeight="1" s="250">
      <c r="A12" s="249" t="inlineStr">
        <is>
          <t>3-Compartment Sink — Rough-In + Set</t>
        </is>
      </c>
      <c r="B12" s="139">
        <f>'FIXTURE SCHEDULE'!G12</f>
        <v/>
      </c>
      <c r="C12" s="140">
        <f>('LABOR TABLES'!I15+'LABOR TABLES'!I16)*SETTINGS!$B$17</f>
        <v/>
      </c>
      <c r="D12" s="141">
        <f>B12*C12</f>
        <v/>
      </c>
      <c r="E12" s="31">
        <f>D12*SETTINGS!$B$11</f>
        <v/>
      </c>
      <c r="F12" s="192" t="n"/>
    </row>
    <row r="13" ht="15" customHeight="1" s="250">
      <c r="A13" s="249" t="inlineStr">
        <is>
          <t>Prep Sink / Hand Sink</t>
        </is>
      </c>
      <c r="B13" s="139">
        <f>'FIXTURE SCHEDULE'!G13</f>
        <v/>
      </c>
      <c r="C13" s="140">
        <f>'LABOR TABLES'!I28*SETTINGS!$B$17</f>
        <v/>
      </c>
      <c r="D13" s="141">
        <f>B13*C13</f>
        <v/>
      </c>
      <c r="E13" s="31">
        <f>D13*SETTINGS!$B$11</f>
        <v/>
      </c>
      <c r="F13" s="192" t="n"/>
    </row>
    <row r="14" ht="15" customHeight="1" s="250">
      <c r="A14" s="126" t="inlineStr">
        <is>
          <t>Mop Sink / Service Sink</t>
        </is>
      </c>
      <c r="B14" s="174">
        <f>'FIXTURE SCHEDULE'!G19</f>
        <v/>
      </c>
      <c r="C14" s="175">
        <f>'LABOR TABLES'!I17*SETTINGS!$B$17</f>
        <v/>
      </c>
      <c r="D14" s="176">
        <f>B14*C14</f>
        <v/>
      </c>
      <c r="E14" s="137">
        <f>D14*SETTINGS!$B$11</f>
        <v/>
      </c>
      <c r="F14" s="192" t="n"/>
    </row>
    <row r="15" ht="15" customHeight="1" s="250">
      <c r="A15" s="161" t="inlineStr">
        <is>
          <t>Kitchen Sink (Double Basin) — Rough-In + Set</t>
        </is>
      </c>
      <c r="B15" s="168">
        <f>'FIXTURE SCHEDULE'!G14</f>
        <v/>
      </c>
      <c r="C15" s="169">
        <f>'LABOR TABLES'!I29*SETTINGS!$B$17</f>
        <v/>
      </c>
      <c r="D15" s="170">
        <f>B15*C15</f>
        <v/>
      </c>
      <c r="E15" s="171">
        <f>D15*SETTINGS!$B$11</f>
        <v/>
      </c>
      <c r="F15" s="63" t="n"/>
    </row>
    <row r="16" ht="15" customHeight="1" s="250">
      <c r="A16" s="161" t="inlineStr">
        <is>
          <t>Kitchen Sink (Single Basin) — Rough-In + Set</t>
        </is>
      </c>
      <c r="B16" s="168">
        <f>'FIXTURE SCHEDULE'!G15</f>
        <v/>
      </c>
      <c r="C16" s="169">
        <f>'LABOR TABLES'!I30*SETTINGS!$B$17</f>
        <v/>
      </c>
      <c r="D16" s="170">
        <f>B16*C16</f>
        <v/>
      </c>
      <c r="E16" s="171">
        <f>D16*SETTINGS!$B$11</f>
        <v/>
      </c>
      <c r="F16" s="63" t="n"/>
    </row>
    <row r="17" ht="15" customHeight="1" s="250">
      <c r="A17" s="161" t="inlineStr">
        <is>
          <t>Ice Maker Connection</t>
        </is>
      </c>
      <c r="B17" s="168">
        <f>'FIXTURE SCHEDULE'!G17</f>
        <v/>
      </c>
      <c r="C17" s="169">
        <f>'LABOR TABLES'!I32*SETTINGS!$B$17</f>
        <v/>
      </c>
      <c r="D17" s="170">
        <f>B17*C17</f>
        <v/>
      </c>
      <c r="E17" s="171">
        <f>D17*SETTINGS!$B$11</f>
        <v/>
      </c>
      <c r="F17" s="63" t="n"/>
    </row>
    <row r="18" ht="15" customHeight="1" s="250">
      <c r="A18" s="249" t="inlineStr">
        <is>
          <t>Commercial Dishwasher Connection</t>
        </is>
      </c>
      <c r="B18" s="139">
        <f>'FIXTURE SCHEDULE'!G16</f>
        <v/>
      </c>
      <c r="C18" s="140">
        <f>'LABOR TABLES'!I31*SETTINGS!$B$17</f>
        <v/>
      </c>
      <c r="D18" s="141">
        <f>B18*C18</f>
        <v/>
      </c>
      <c r="E18" s="31">
        <f>D18*SETTINGS!$B$11</f>
        <v/>
      </c>
      <c r="F18" s="63" t="n"/>
    </row>
    <row r="19" ht="15" customHeight="1" s="250">
      <c r="A19" s="172" t="inlineStr">
        <is>
          <t>── UTILITY ──</t>
        </is>
      </c>
      <c r="B19" s="173" t="n"/>
      <c r="C19" s="173" t="n"/>
      <c r="D19" s="173" t="n"/>
      <c r="E19" s="172" t="n"/>
      <c r="F19" s="172" t="n"/>
    </row>
    <row r="20" ht="15" customHeight="1" s="250">
      <c r="A20" s="249" t="inlineStr">
        <is>
          <t>Floor Drain (2")</t>
        </is>
      </c>
      <c r="B20" s="139">
        <f>'FIXTURE SCHEDULE'!G20</f>
        <v/>
      </c>
      <c r="C20" s="140">
        <f>'LABOR TABLES'!I18*SETTINGS!$B$17</f>
        <v/>
      </c>
      <c r="D20" s="141">
        <f>B20*C20</f>
        <v/>
      </c>
      <c r="E20" s="31">
        <f>D20*SETTINGS!$B$11</f>
        <v/>
      </c>
      <c r="F20" s="192" t="n"/>
    </row>
    <row r="21" ht="15" customHeight="1" s="250">
      <c r="A21" s="249" t="inlineStr">
        <is>
          <t>Floor Drain (3")</t>
        </is>
      </c>
      <c r="B21" s="139">
        <f>'FIXTURE SCHEDULE'!G21</f>
        <v/>
      </c>
      <c r="C21" s="140">
        <f>'LABOR TABLES'!I19*SETTINGS!$B$17</f>
        <v/>
      </c>
      <c r="D21" s="141">
        <f>B21*C21</f>
        <v/>
      </c>
      <c r="E21" s="31">
        <f>D21*SETTINGS!$B$11</f>
        <v/>
      </c>
      <c r="F21" s="192" t="n"/>
    </row>
    <row r="22" ht="15" customHeight="1" s="250">
      <c r="A22" s="249" t="inlineStr">
        <is>
          <t>Floor Drain (4")</t>
        </is>
      </c>
      <c r="B22" s="139">
        <f>'FIXTURE SCHEDULE'!G22</f>
        <v/>
      </c>
      <c r="C22" s="140">
        <f>'LABOR TABLES'!I20*SETTINGS!$B$17</f>
        <v/>
      </c>
      <c r="D22" s="141">
        <f>B22*C22</f>
        <v/>
      </c>
      <c r="E22" s="31">
        <f>D22*SETTINGS!$B$11</f>
        <v/>
      </c>
      <c r="F22" s="192" t="n"/>
    </row>
    <row r="23" ht="15" customHeight="1" s="250">
      <c r="A23" s="249" t="inlineStr">
        <is>
          <t>Floor Sink</t>
        </is>
      </c>
      <c r="B23" s="139">
        <f>'FIXTURE SCHEDULE'!G23</f>
        <v/>
      </c>
      <c r="C23" s="140">
        <f>'LABOR TABLES'!I21*SETTINGS!$B$17</f>
        <v/>
      </c>
      <c r="D23" s="141">
        <f>B23*C23</f>
        <v/>
      </c>
      <c r="E23" s="31">
        <f>D23*SETTINGS!$B$11</f>
        <v/>
      </c>
      <c r="F23" s="192" t="n"/>
    </row>
    <row r="24" ht="15" customHeight="1" s="250">
      <c r="A24" s="249" t="inlineStr">
        <is>
          <t>Drinking Fountain</t>
        </is>
      </c>
      <c r="B24" s="139">
        <f>'FIXTURE SCHEDULE'!G24</f>
        <v/>
      </c>
      <c r="C24" s="140">
        <f>('LABOR TABLES'!I22+'LABOR TABLES'!I23)*SETTINGS!$B$17</f>
        <v/>
      </c>
      <c r="D24" s="141">
        <f>B24*C24</f>
        <v/>
      </c>
      <c r="E24" s="31">
        <f>D24*SETTINGS!$B$11</f>
        <v/>
      </c>
      <c r="F24" s="192" t="n"/>
    </row>
    <row r="25" ht="15" customHeight="1" s="250">
      <c r="A25" s="249" t="inlineStr">
        <is>
          <t>Emergency Eyewash / Shower</t>
        </is>
      </c>
      <c r="B25" s="139">
        <f>'FIXTURE SCHEDULE'!G25</f>
        <v/>
      </c>
      <c r="C25" s="140">
        <f>'LABOR TABLES'!I24*SETTINGS!$B$17</f>
        <v/>
      </c>
      <c r="D25" s="141">
        <f>B25*C25</f>
        <v/>
      </c>
      <c r="E25" s="31">
        <f>D25*SETTINGS!$B$11</f>
        <v/>
      </c>
      <c r="F25" s="192" t="n"/>
    </row>
    <row r="26" ht="15" customHeight="1" s="250">
      <c r="A26" s="126" t="inlineStr">
        <is>
          <t>Hose Bib (Commercial)</t>
        </is>
      </c>
      <c r="B26" s="174">
        <f>'FIXTURE SCHEDULE'!G26</f>
        <v/>
      </c>
      <c r="C26" s="175">
        <f>'LABOR TABLES'!I25*SETTINGS!$B$17</f>
        <v/>
      </c>
      <c r="D26" s="176">
        <f>B26*C26</f>
        <v/>
      </c>
      <c r="E26" s="137">
        <f>D26*SETTINGS!$B$11</f>
        <v/>
      </c>
      <c r="F26" s="192" t="n"/>
    </row>
    <row r="27" ht="15" customHeight="1" s="250">
      <c r="A27" s="161" t="inlineStr">
        <is>
          <t>Wall Hydrant (Non-Freeze)</t>
        </is>
      </c>
      <c r="B27" s="168">
        <f>'FIXTURE SCHEDULE'!G27</f>
        <v/>
      </c>
      <c r="C27" s="169">
        <f>'LABOR TABLES'!I26*SETTINGS!$B$17</f>
        <v/>
      </c>
      <c r="D27" s="170">
        <f>B27*C27</f>
        <v/>
      </c>
      <c r="E27" s="171">
        <f>D27*SETTINGS!$B$11</f>
        <v/>
      </c>
      <c r="F27" s="192" t="n"/>
    </row>
    <row r="28" ht="15" customHeight="1" s="250">
      <c r="A28" s="189" t="inlineStr">
        <is>
          <t>Roof Drain</t>
        </is>
      </c>
      <c r="B28" s="190">
        <f>'FIXTURE SCHEDULE'!G28</f>
        <v/>
      </c>
      <c r="C28" s="182">
        <f>'LABOR TABLES'!I33*SETTINGS!$B$17</f>
        <v/>
      </c>
      <c r="D28" s="183">
        <f>B28*C28</f>
        <v/>
      </c>
      <c r="E28" s="184">
        <f>D28*SETTINGS!$B$11</f>
        <v/>
      </c>
      <c r="F28" s="191" t="n"/>
    </row>
    <row r="29" ht="15" customHeight="1" s="250">
      <c r="A29" s="161" t="inlineStr">
        <is>
          <t>Cleanout (Double / 2-Way)</t>
        </is>
      </c>
      <c r="B29" s="168">
        <f>'FIXTURE SCHEDULE'!G29</f>
        <v/>
      </c>
      <c r="C29" s="169">
        <f>'LABOR TABLES'!I34*SETTINGS!$B$17</f>
        <v/>
      </c>
      <c r="D29" s="170">
        <f>B29*C29</f>
        <v/>
      </c>
      <c r="E29" s="171">
        <f>D29*SETTINGS!$B$11</f>
        <v/>
      </c>
      <c r="F29" s="63" t="n"/>
    </row>
    <row r="30" ht="15" customHeight="1" s="250">
      <c r="A30" s="161" t="inlineStr">
        <is>
          <t>Trap Primer Valve</t>
        </is>
      </c>
      <c r="B30" s="168">
        <f>'FIXTURE SCHEDULE'!G30</f>
        <v/>
      </c>
      <c r="C30" s="169">
        <f>'LABOR TABLES'!I45*SETTINGS!$B$17</f>
        <v/>
      </c>
      <c r="D30" s="170">
        <f>B30*C30</f>
        <v/>
      </c>
      <c r="E30" s="171">
        <f>D30*SETTINGS!$B$11</f>
        <v/>
      </c>
      <c r="F30" s="63" t="n"/>
    </row>
    <row r="31" ht="15" customHeight="1" s="250">
      <c r="A31" s="172" t="inlineStr">
        <is>
          <t>── SPECIALTY EQUIPMENT ──</t>
        </is>
      </c>
      <c r="B31" s="173" t="n"/>
      <c r="C31" s="173" t="n"/>
      <c r="D31" s="173" t="n"/>
      <c r="E31" s="172" t="n"/>
      <c r="F31" s="172" t="n"/>
    </row>
    <row r="32" ht="15" customHeight="1" s="250">
      <c r="A32" s="249" t="inlineStr">
        <is>
          <t>Grease Interceptor (Indoor)</t>
        </is>
      </c>
      <c r="B32" s="168">
        <f>'FIXTURE SCHEDULE'!G36</f>
        <v/>
      </c>
      <c r="C32" s="169">
        <f>'LABOR TABLES'!I36*SETTINGS!$B$17</f>
        <v/>
      </c>
      <c r="D32" s="141">
        <f>B32*C32</f>
        <v/>
      </c>
      <c r="E32" s="31">
        <f>D32*SETTINGS!$B$11</f>
        <v/>
      </c>
      <c r="F32" s="63" t="n"/>
    </row>
    <row r="33" ht="15" customHeight="1" s="250">
      <c r="A33" s="249" t="inlineStr">
        <is>
          <t>RPZ Backflow Preventer (1" and under)</t>
        </is>
      </c>
      <c r="B33" s="168">
        <f>'FIXTURE SCHEDULE'!G34</f>
        <v/>
      </c>
      <c r="C33" s="169">
        <f>'LABOR TABLES'!I38*SETTINGS!$B$17</f>
        <v/>
      </c>
      <c r="D33" s="141">
        <f>B33*C33</f>
        <v/>
      </c>
      <c r="E33" s="31">
        <f>D33*SETTINGS!$B$11</f>
        <v/>
      </c>
      <c r="F33" s="63" t="n"/>
    </row>
    <row r="34" ht="15" customHeight="1" s="250">
      <c r="A34" s="249" t="inlineStr">
        <is>
          <t>PRV Station</t>
        </is>
      </c>
      <c r="B34" s="168">
        <f>'FIXTURE SCHEDULE'!G37</f>
        <v/>
      </c>
      <c r="C34" s="169">
        <f>'LABOR TABLES'!I40*SETTINGS!$B$17</f>
        <v/>
      </c>
      <c r="D34" s="141">
        <f>B34*C34</f>
        <v/>
      </c>
      <c r="E34" s="31">
        <f>D34*SETTINGS!$B$11</f>
        <v/>
      </c>
      <c r="F34" s="63" t="n"/>
    </row>
    <row r="35" ht="15" customHeight="1" s="250">
      <c r="A35" s="249" t="inlineStr">
        <is>
          <t>Commercial Water Heater (Tank)</t>
        </is>
      </c>
      <c r="B35" s="168">
        <f>'FIXTURE SCHEDULE'!G38</f>
        <v/>
      </c>
      <c r="C35" s="169">
        <f>'LABOR TABLES'!I42*SETTINGS!$B$17</f>
        <v/>
      </c>
      <c r="D35" s="141">
        <f>B35*C35</f>
        <v/>
      </c>
      <c r="E35" s="31">
        <f>D35*SETTINGS!$B$11</f>
        <v/>
      </c>
      <c r="F35" s="63" t="n"/>
    </row>
    <row r="36" ht="15" customHeight="1" s="250">
      <c r="A36" s="126" t="inlineStr">
        <is>
          <t>Expansion Tank</t>
        </is>
      </c>
      <c r="B36" s="188">
        <f>'FIXTURE SCHEDULE'!G33</f>
        <v/>
      </c>
      <c r="C36" s="177">
        <f>'LABOR TABLES'!I41*SETTINGS!$B$17</f>
        <v/>
      </c>
      <c r="D36" s="176">
        <f>B36*C36</f>
        <v/>
      </c>
      <c r="E36" s="137">
        <f>D36*SETTINGS!$B$11</f>
        <v/>
      </c>
      <c r="F36" s="63" t="n"/>
    </row>
    <row r="37" ht="15" customHeight="1" s="250">
      <c r="A37" s="161" t="inlineStr">
        <is>
          <t>Grease Interceptor (Exterior / In-Ground)</t>
        </is>
      </c>
      <c r="B37" s="168">
        <f>'FIXTURE SCHEDULE'!G42</f>
        <v/>
      </c>
      <c r="C37" s="169">
        <f>'LABOR TABLES'!I37*SETTINGS!$B$17</f>
        <v/>
      </c>
      <c r="D37" s="170">
        <f>B37*C37</f>
        <v/>
      </c>
      <c r="E37" s="171">
        <f>D37*SETTINGS!$B$11</f>
        <v/>
      </c>
      <c r="F37" s="63" t="n"/>
    </row>
    <row r="38" ht="15" customHeight="1" s="250">
      <c r="A38" s="161" t="inlineStr">
        <is>
          <t>RPZ Backflow Preventer (1-1/4” – 2”)</t>
        </is>
      </c>
      <c r="B38" s="168">
        <f>'FIXTURE SCHEDULE'!G35</f>
        <v/>
      </c>
      <c r="C38" s="169">
        <f>'LABOR TABLES'!I39*SETTINGS!$B$17</f>
        <v/>
      </c>
      <c r="D38" s="170">
        <f>B38*C38</f>
        <v/>
      </c>
      <c r="E38" s="171">
        <f>D38*SETTINGS!$B$11</f>
        <v/>
      </c>
      <c r="F38" s="63" t="n"/>
    </row>
    <row r="39" ht="15" customHeight="1" s="250">
      <c r="A39" s="161" t="inlineStr">
        <is>
          <t>Tankless Water Heater (Commercial)</t>
        </is>
      </c>
      <c r="B39" s="168">
        <f>'FIXTURE SCHEDULE'!G39</f>
        <v/>
      </c>
      <c r="C39" s="169">
        <f>'LABOR TABLES'!I43*SETTINGS!$B$17</f>
        <v/>
      </c>
      <c r="D39" s="170">
        <f>B39*C39</f>
        <v/>
      </c>
      <c r="E39" s="171">
        <f>D39*SETTINGS!$B$11</f>
        <v/>
      </c>
      <c r="F39" s="63" t="n"/>
    </row>
    <row r="40" ht="15" customHeight="1" s="250">
      <c r="A40" s="161" t="inlineStr">
        <is>
          <t>Water Heater Drain / Relief Valve</t>
        </is>
      </c>
      <c r="B40" s="168">
        <f>'FIXTURE SCHEDULE'!G32</f>
        <v/>
      </c>
      <c r="C40" s="169">
        <f>'LABOR TABLES'!I44*SETTINGS!$B$17</f>
        <v/>
      </c>
      <c r="D40" s="170">
        <f>B40*C40</f>
        <v/>
      </c>
      <c r="E40" s="171">
        <f>D40*SETTINGS!$B$11</f>
        <v/>
      </c>
      <c r="F40" s="63" t="n"/>
    </row>
    <row r="41" ht="15" customHeight="1" s="250">
      <c r="A41" s="187" t="inlineStr">
        <is>
          <t>Mixing Valve / TMV (Tempering)</t>
        </is>
      </c>
      <c r="B41" s="188">
        <f>'FIXTURE SCHEDULE'!G40</f>
        <v/>
      </c>
      <c r="C41" s="177">
        <f>'LABOR TABLES'!I46*SETTINGS!$B$17</f>
        <v/>
      </c>
      <c r="D41" s="185">
        <f>B41*C41</f>
        <v/>
      </c>
      <c r="E41" s="186">
        <f>D41*SETTINGS!$B$11</f>
        <v/>
      </c>
      <c r="F41" s="193" t="n"/>
    </row>
    <row r="42" ht="15" customHeight="1" s="250">
      <c r="A42" s="194" t="inlineStr">
        <is>
          <t>Hot Water Recirculation Pump</t>
        </is>
      </c>
      <c r="B42" s="181">
        <f>'FIXTURE SCHEDULE'!G41</f>
        <v/>
      </c>
      <c r="C42" s="178">
        <f>'LABOR TABLES'!I47*SETTINGS!$B$17</f>
        <v/>
      </c>
      <c r="D42" s="179">
        <f>B42*C42</f>
        <v/>
      </c>
      <c r="E42" s="180">
        <f>D42*SETTINGS!$B$11</f>
        <v/>
      </c>
      <c r="F42" s="192" t="n"/>
    </row>
    <row r="44" ht="15" customHeight="1" s="250">
      <c r="A44" s="251" t="inlineStr">
        <is>
          <t>FIXTURE &amp; SPECIALTY LABOR TOTAL</t>
        </is>
      </c>
      <c r="D44" s="143">
        <f>SUMIF(D5:D42,"&gt;0")</f>
        <v/>
      </c>
      <c r="E44" s="29">
        <f>SUMIF(E5:E42,"&gt;0")</f>
        <v/>
      </c>
    </row>
    <row r="46" ht="15" customHeight="1" s="250">
      <c r="A46" s="225" t="inlineStr">
        <is>
          <t>HANGER SYSTEM ESTIMATE</t>
        </is>
      </c>
      <c r="B46" s="61" t="n"/>
      <c r="C46" s="61" t="n"/>
      <c r="D46" s="61" t="n"/>
      <c r="E46" s="61" t="n"/>
      <c r="F46" s="62" t="n"/>
    </row>
    <row r="47" ht="15" customHeight="1" s="250">
      <c r="A47" s="225" t="inlineStr">
        <is>
          <t>Hanger Type</t>
        </is>
      </c>
      <c r="B47" s="225" t="inlineStr">
        <is>
          <t>Qty / LF</t>
        </is>
      </c>
      <c r="C47" s="225" t="inlineStr">
        <is>
          <t>Labor Hrs Each</t>
        </is>
      </c>
      <c r="D47" s="225" t="inlineStr">
        <is>
          <t>Total Hrs</t>
        </is>
      </c>
      <c r="E47" s="225" t="inlineStr">
        <is>
          <t>Labor Cost ($)</t>
        </is>
      </c>
      <c r="F47" s="225" t="inlineStr">
        <is>
          <t>Notes</t>
        </is>
      </c>
    </row>
    <row r="48" ht="15" customHeight="1" s="250">
      <c r="A48" s="249" t="inlineStr">
        <is>
          <t>Single Clevis Hanger</t>
        </is>
      </c>
      <c r="B48" s="144">
        <f>IF('PIPE ESTIMATE'!B3="Single Clevis Hanger",CEILING('PIPE TAKEOFF'!D6/4,1)+CEILING('PIPE TAKEOFF'!D7/4,1)+CEILING('PIPE TAKEOFF'!D8/4,1)+CEILING('PIPE TAKEOFF'!D9/4,1)+CEILING('PIPE TAKEOFF'!D10/4,1)+CEILING('PIPE TAKEOFF'!D11/4,1)+CEILING('PIPE TAKEOFF'!D16/10,1)+CEILING('PIPE TAKEOFF'!D17/10,1)+CEILING('PIPE TAKEOFF'!D18/6,1)+CEILING('PIPE TAKEOFF'!D19/6,1)+CEILING('PIPE TAKEOFF'!D20/6,1)+CEILING('PIPE TAKEOFF'!D21/6,1)+CEILING('PIPE TAKEOFF'!D26/10,1)+CEILING('PIPE TAKEOFF'!D27/6,1)+CEILING('PIPE TAKEOFF'!D28/6,1)+CEILING('PIPE TAKEOFF'!D29/6,1)+CEILING('PIPE TAKEOFF'!D30/6,1)+CEILING('PIPE TAKEOFF'!D35/6,1)+CEILING('PIPE TAKEOFF'!D36/6,1)+CEILING('PIPE TAKEOFF'!D41/10,1)+CEILING('PIPE TAKEOFF'!D42/10,1)+CEILING('PIPE TAKEOFF'!D43/10,1)+CEILING('PIPE TAKEOFF'!D44/10,1)+CEILING('PIPE TAKEOFF'!D45/10,1),0)</f>
        <v/>
      </c>
      <c r="C48" s="272">
        <f>'LABOR TABLES'!I49</f>
        <v/>
      </c>
      <c r="D48" s="141">
        <f>B48*C48*SETTINGS!$B$17</f>
        <v/>
      </c>
      <c r="E48" s="31">
        <f>D48*SETTINGS!$B$11</f>
        <v/>
      </c>
      <c r="F48" s="99" t="inlineStr">
        <is>
          <t>IPC 308.5: PVC 4ft, Cu ≤1¼" 6ft, Cu ≥1½" 10ft, Iron 10ft</t>
        </is>
      </c>
    </row>
    <row r="49" ht="15" customHeight="1" s="250">
      <c r="A49" s="249" t="inlineStr">
        <is>
          <t>Trapeze Assembly (2-pipe)</t>
        </is>
      </c>
      <c r="B49" s="144">
        <f>IF('PIPE ESTIMATE'!B3="Trapeze Assembly (2-pipe)",CEILING((CEILING('PIPE TAKEOFF'!D6/4,1)+CEILING('PIPE TAKEOFF'!D7/4,1)+CEILING('PIPE TAKEOFF'!D8/4,1)+CEILING('PIPE TAKEOFF'!D9/4,1)+CEILING('PIPE TAKEOFF'!D10/4,1)+CEILING('PIPE TAKEOFF'!D11/4,1)+CEILING('PIPE TAKEOFF'!D16/10,1)+CEILING('PIPE TAKEOFF'!D17/10,1)+CEILING('PIPE TAKEOFF'!D18/6,1)+CEILING('PIPE TAKEOFF'!D19/6,1)+CEILING('PIPE TAKEOFF'!D20/6,1)+CEILING('PIPE TAKEOFF'!D21/6,1)+CEILING('PIPE TAKEOFF'!D26/10,1)+CEILING('PIPE TAKEOFF'!D27/6,1)+CEILING('PIPE TAKEOFF'!D28/6,1)+CEILING('PIPE TAKEOFF'!D29/6,1)+CEILING('PIPE TAKEOFF'!D30/6,1)+CEILING('PIPE TAKEOFF'!D35/6,1)+CEILING('PIPE TAKEOFF'!D36/6,1)+CEILING('PIPE TAKEOFF'!D41/10,1)+CEILING('PIPE TAKEOFF'!D42/10,1)+CEILING('PIPE TAKEOFF'!D43/10,1)+CEILING('PIPE TAKEOFF'!D44/10,1)+CEILING('PIPE TAKEOFF'!D45/10,1))/2,1),0)</f>
        <v/>
      </c>
      <c r="C49" s="272">
        <f>'LABOR TABLES'!I50</f>
        <v/>
      </c>
      <c r="D49" s="141">
        <f>B49*C49*SETTINGS!$B$17</f>
        <v/>
      </c>
      <c r="E49" s="31">
        <f>D49*SETTINGS!$B$11</f>
        <v/>
      </c>
      <c r="F49" s="99" t="inlineStr">
        <is>
          <t>Total single hangers ÷ 2, rounded up</t>
        </is>
      </c>
    </row>
    <row r="50" ht="15" customHeight="1" s="250">
      <c r="A50" s="249" t="inlineStr">
        <is>
          <t>Trapeze Assembly (3+ pipe)</t>
        </is>
      </c>
      <c r="B50" s="144">
        <f>IF('PIPE ESTIMATE'!B3="Trapeze Assembly (3+ pipe)",CEILING((CEILING('PIPE TAKEOFF'!D6/4,1)+CEILING('PIPE TAKEOFF'!D7/4,1)+CEILING('PIPE TAKEOFF'!D8/4,1)+CEILING('PIPE TAKEOFF'!D9/4,1)+CEILING('PIPE TAKEOFF'!D10/4,1)+CEILING('PIPE TAKEOFF'!D11/4,1)+CEILING('PIPE TAKEOFF'!D16/10,1)+CEILING('PIPE TAKEOFF'!D17/10,1)+CEILING('PIPE TAKEOFF'!D18/6,1)+CEILING('PIPE TAKEOFF'!D19/6,1)+CEILING('PIPE TAKEOFF'!D20/6,1)+CEILING('PIPE TAKEOFF'!D21/6,1)+CEILING('PIPE TAKEOFF'!D26/10,1)+CEILING('PIPE TAKEOFF'!D27/6,1)+CEILING('PIPE TAKEOFF'!D28/6,1)+CEILING('PIPE TAKEOFF'!D29/6,1)+CEILING('PIPE TAKEOFF'!D30/6,1)+CEILING('PIPE TAKEOFF'!D35/6,1)+CEILING('PIPE TAKEOFF'!D36/6,1)+CEILING('PIPE TAKEOFF'!D41/10,1)+CEILING('PIPE TAKEOFF'!D42/10,1)+CEILING('PIPE TAKEOFF'!D43/10,1)+CEILING('PIPE TAKEOFF'!D44/10,1)+CEILING('PIPE TAKEOFF'!D45/10,1))/3,1),0)</f>
        <v/>
      </c>
      <c r="C50" s="272">
        <f>'LABOR TABLES'!I51</f>
        <v/>
      </c>
      <c r="D50" s="141">
        <f>B50*C50*SETTINGS!$B$17</f>
        <v/>
      </c>
      <c r="E50" s="31">
        <f>D50*SETTINGS!$B$11</f>
        <v/>
      </c>
      <c r="F50" s="99" t="inlineStr">
        <is>
          <t>Total single hangers ÷ 3, rounded up</t>
        </is>
      </c>
    </row>
    <row r="51" ht="15" customHeight="1" s="250">
      <c r="A51" s="249" t="inlineStr">
        <is>
          <t>Threaded Rod (LF)</t>
        </is>
      </c>
      <c r="B51" s="144">
        <f>IF('PIPE ESTIMATE'!B3&lt;&gt;"",SUM(B48:B50)*4,0)</f>
        <v/>
      </c>
      <c r="C51" s="272">
        <f>'LABOR TABLES'!I52</f>
        <v/>
      </c>
      <c r="D51" s="141">
        <f>B51*C51*SETTINGS!$B$17</f>
        <v/>
      </c>
      <c r="E51" s="31">
        <f>D51*SETTINGS!$B$11</f>
        <v/>
      </c>
      <c r="F51" s="99" t="inlineStr">
        <is>
          <t>Avg 4 LF rod per hanger point</t>
        </is>
      </c>
    </row>
    <row r="52" ht="15" customHeight="1" s="250">
      <c r="A52" s="249" t="inlineStr">
        <is>
          <t>Beam Clamp</t>
        </is>
      </c>
      <c r="B52" s="144">
        <f>IF('PIPE ESTIMATE'!B3&lt;&gt;"",SUM(B48:B50)*IF('PIPE ESTIMATE'!B3="Single Clevis Hanger",1,2),0)</f>
        <v/>
      </c>
      <c r="C52" s="272">
        <f>'LABOR TABLES'!I53</f>
        <v/>
      </c>
      <c r="D52" s="141">
        <f>B52*C52*SETTINGS!$B$17</f>
        <v/>
      </c>
      <c r="E52" s="31">
        <f>D52*SETTINGS!$B$11</f>
        <v/>
      </c>
      <c r="F52" s="99" t="inlineStr">
        <is>
          <t>1 clamp/clevis, 2 clamps/trapeze</t>
        </is>
      </c>
    </row>
    <row r="54" ht="15" customHeight="1" s="250">
      <c r="A54" s="251" t="inlineStr">
        <is>
          <t>HANGER SYSTEM TOTAL</t>
        </is>
      </c>
      <c r="D54" s="143">
        <f>SUM(D48:D52)</f>
        <v/>
      </c>
      <c r="E54" s="29">
        <f>SUM(E48:E52)</f>
        <v/>
      </c>
    </row>
  </sheetData>
  <mergeCells count="3">
    <mergeCell ref="A2:F2"/>
    <mergeCell ref="A1:F1"/>
    <mergeCell ref="A46:F46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833C00"/>
    <outlinePr summaryBelow="1" summaryRight="1"/>
    <pageSetUpPr/>
  </sheetPr>
  <dimension ref="A1:O36"/>
  <sheetViews>
    <sheetView showGridLines="0" zoomScaleNormal="100" workbookViewId="0">
      <selection activeCell="B5" sqref="B5"/>
    </sheetView>
  </sheetViews>
  <sheetFormatPr baseColWidth="8" defaultColWidth="8.7109375" defaultRowHeight="15"/>
  <cols>
    <col width="5" customWidth="1" style="250" min="1" max="1"/>
    <col width="24" customWidth="1" style="250" min="2" max="2"/>
    <col width="20" customWidth="1" style="250" min="3" max="3"/>
    <col width="16" customWidth="1" style="250" min="4" max="4"/>
    <col width="14" customWidth="1" style="250" min="5" max="12"/>
    <col width="11.28515625" customWidth="1" style="250" min="13" max="13"/>
    <col width="66.85546875" customWidth="1" style="250" min="14" max="14"/>
    <col width="60.5703125" customWidth="1" style="250" min="15" max="15"/>
  </cols>
  <sheetData>
    <row r="1" ht="27.75" customHeight="1" s="250">
      <c r="A1" s="223" t="inlineStr">
        <is>
          <t>BARRETT PLUMBING INC. — COMMERCIAL ACTUALS TRACKER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2" t="n"/>
    </row>
    <row r="2" ht="15" customHeight="1" s="250">
      <c r="A2" s="224" t="inlineStr">
        <is>
          <t>Log actuals after job completion. Builds your commercial labor rate database over time. Win/Loss tracking improves bid accuracy.</t>
        </is>
      </c>
    </row>
    <row r="4" ht="15" customHeight="1" s="250">
      <c r="A4" s="225" t="inlineStr">
        <is>
          <t>#</t>
        </is>
      </c>
      <c r="B4" s="225" t="inlineStr">
        <is>
          <t>Project Name</t>
        </is>
      </c>
      <c r="C4" s="225" t="inlineStr">
        <is>
          <t>Building Type</t>
        </is>
      </c>
      <c r="D4" s="225" t="inlineStr">
        <is>
          <t>Bid Date</t>
        </is>
      </c>
      <c r="E4" s="225" t="inlineStr">
        <is>
          <t>Est. Labor Hrs</t>
        </is>
      </c>
      <c r="F4" s="225" t="inlineStr">
        <is>
          <t>Act. Labor Hrs</t>
        </is>
      </c>
      <c r="G4" s="225" t="inlineStr">
        <is>
          <t>Est. Pipe LF</t>
        </is>
      </c>
      <c r="H4" s="225" t="inlineStr">
        <is>
          <t>Act. Pipe LF</t>
        </is>
      </c>
      <c r="I4" s="225" t="inlineStr">
        <is>
          <t>Est. Total ($)</t>
        </is>
      </c>
      <c r="J4" s="225" t="inlineStr">
        <is>
          <t>Act. Total ($)</t>
        </is>
      </c>
      <c r="K4" s="225" t="inlineStr">
        <is>
          <t>Variance ($)</t>
        </is>
      </c>
      <c r="L4" s="225" t="inlineStr">
        <is>
          <t>Variance %</t>
        </is>
      </c>
      <c r="M4" s="225" t="inlineStr">
        <is>
          <t>Won / Lost</t>
        </is>
      </c>
      <c r="N4" s="225" t="inlineStr">
        <is>
          <t>Notes</t>
        </is>
      </c>
      <c r="O4" s="225" t="inlineStr">
        <is>
          <t>Key Lessons</t>
        </is>
      </c>
    </row>
    <row r="5" ht="15" customHeight="1" s="250">
      <c r="A5" s="32" t="n">
        <v>1</v>
      </c>
      <c r="B5" s="64" t="n"/>
      <c r="C5" s="64" t="n"/>
      <c r="D5" s="81" t="n"/>
      <c r="E5" s="65" t="n"/>
      <c r="F5" s="65" t="n"/>
      <c r="G5" s="65" t="n"/>
      <c r="H5" s="65" t="n"/>
      <c r="I5" s="66" t="n"/>
      <c r="J5" s="66" t="n"/>
      <c r="K5" s="67">
        <f>IF(AND(I5&lt;&gt;"",J5&lt;&gt;""),J5-I5,"")</f>
        <v/>
      </c>
      <c r="L5" s="68">
        <f>IF(AND(I5&lt;&gt;"",J5&lt;&gt;"",I5&lt;&gt;0),(J5-I5)/I5,"")</f>
        <v/>
      </c>
      <c r="M5" s="64" t="n"/>
      <c r="N5" s="64" t="n"/>
      <c r="O5" s="64" t="n"/>
    </row>
    <row r="6" ht="15" customHeight="1" s="250">
      <c r="A6" s="32" t="n">
        <v>2</v>
      </c>
      <c r="B6" s="232" t="n"/>
      <c r="C6" s="232" t="n"/>
      <c r="D6" s="82" t="n"/>
      <c r="E6" s="33" t="n"/>
      <c r="F6" s="33" t="n"/>
      <c r="G6" s="33" t="n"/>
      <c r="H6" s="33" t="n"/>
      <c r="I6" s="24" t="n"/>
      <c r="J6" s="24" t="n"/>
      <c r="K6" s="69">
        <f>IF(AND(I6&lt;&gt;"",J6&lt;&gt;""),J6-I6,"")</f>
        <v/>
      </c>
      <c r="L6" s="70">
        <f>IF(AND(I6&lt;&gt;"",J6&lt;&gt;"",I6&lt;&gt;0),(J6-I6)/I6,"")</f>
        <v/>
      </c>
      <c r="M6" s="232" t="n"/>
      <c r="N6" s="232" t="n"/>
      <c r="O6" s="232" t="n"/>
    </row>
    <row r="7" ht="15" customHeight="1" s="250">
      <c r="A7" s="32" t="n">
        <v>3</v>
      </c>
      <c r="B7" s="64" t="n"/>
      <c r="C7" s="64" t="n"/>
      <c r="D7" s="81" t="n"/>
      <c r="E7" s="65" t="n"/>
      <c r="F7" s="65" t="n"/>
      <c r="G7" s="65" t="n"/>
      <c r="H7" s="65" t="n"/>
      <c r="I7" s="66" t="n"/>
      <c r="J7" s="66" t="n"/>
      <c r="K7" s="67">
        <f>IF(AND(I7&lt;&gt;"",J7&lt;&gt;""),J7-I7,"")</f>
        <v/>
      </c>
      <c r="L7" s="68">
        <f>IF(AND(I7&lt;&gt;"",J7&lt;&gt;"",I7&lt;&gt;0),(J7-I7)/I7,"")</f>
        <v/>
      </c>
      <c r="M7" s="64" t="n"/>
      <c r="N7" s="64" t="n"/>
      <c r="O7" s="64" t="n"/>
    </row>
    <row r="8" ht="15" customHeight="1" s="250">
      <c r="A8" s="32" t="n">
        <v>4</v>
      </c>
      <c r="B8" s="232" t="n"/>
      <c r="C8" s="232" t="n"/>
      <c r="D8" s="82" t="n"/>
      <c r="E8" s="33" t="n"/>
      <c r="F8" s="33" t="n"/>
      <c r="G8" s="33" t="n"/>
      <c r="H8" s="33" t="n"/>
      <c r="I8" s="24" t="n"/>
      <c r="J8" s="24" t="n"/>
      <c r="K8" s="69">
        <f>IF(AND(I8&lt;&gt;"",J8&lt;&gt;""),J8-I8,"")</f>
        <v/>
      </c>
      <c r="L8" s="70">
        <f>IF(AND(I8&lt;&gt;"",J8&lt;&gt;"",I8&lt;&gt;0),(J8-I8)/I8,"")</f>
        <v/>
      </c>
      <c r="M8" s="232" t="n"/>
      <c r="N8" s="232" t="n"/>
      <c r="O8" s="232" t="n"/>
    </row>
    <row r="9" ht="15" customHeight="1" s="250">
      <c r="A9" s="32" t="n">
        <v>5</v>
      </c>
      <c r="B9" s="64" t="n"/>
      <c r="C9" s="64" t="n"/>
      <c r="D9" s="81" t="n"/>
      <c r="E9" s="65" t="n"/>
      <c r="F9" s="65" t="n"/>
      <c r="G9" s="65" t="n"/>
      <c r="H9" s="65" t="n"/>
      <c r="I9" s="66" t="n"/>
      <c r="J9" s="66" t="n"/>
      <c r="K9" s="67">
        <f>IF(AND(I9&lt;&gt;"",J9&lt;&gt;""),J9-I9,"")</f>
        <v/>
      </c>
      <c r="L9" s="68">
        <f>IF(AND(I9&lt;&gt;"",J9&lt;&gt;"",I9&lt;&gt;0),(J9-I9)/I9,"")</f>
        <v/>
      </c>
      <c r="M9" s="64" t="n"/>
      <c r="N9" s="64" t="n"/>
      <c r="O9" s="64" t="n"/>
    </row>
    <row r="10" ht="15" customHeight="1" s="250">
      <c r="A10" s="32" t="n">
        <v>6</v>
      </c>
      <c r="B10" s="232" t="n"/>
      <c r="C10" s="232" t="n"/>
      <c r="D10" s="82" t="n"/>
      <c r="E10" s="33" t="n"/>
      <c r="F10" s="33" t="n"/>
      <c r="G10" s="33" t="n"/>
      <c r="H10" s="33" t="n"/>
      <c r="I10" s="24" t="n"/>
      <c r="J10" s="24" t="n"/>
      <c r="K10" s="69">
        <f>IF(AND(I10&lt;&gt;"",J10&lt;&gt;""),J10-I10,"")</f>
        <v/>
      </c>
      <c r="L10" s="70">
        <f>IF(AND(I10&lt;&gt;"",J10&lt;&gt;"",I10&lt;&gt;0),(J10-I10)/I10,"")</f>
        <v/>
      </c>
      <c r="M10" s="232" t="n"/>
      <c r="N10" s="232" t="n"/>
      <c r="O10" s="232" t="n"/>
    </row>
    <row r="11" ht="15" customHeight="1" s="250">
      <c r="A11" s="32" t="n">
        <v>7</v>
      </c>
      <c r="B11" s="64" t="n"/>
      <c r="C11" s="64" t="n"/>
      <c r="D11" s="81" t="n"/>
      <c r="E11" s="65" t="n"/>
      <c r="F11" s="65" t="n"/>
      <c r="G11" s="65" t="n"/>
      <c r="H11" s="65" t="n"/>
      <c r="I11" s="66" t="n"/>
      <c r="J11" s="66" t="n"/>
      <c r="K11" s="67">
        <f>IF(AND(I11&lt;&gt;"",J11&lt;&gt;""),J11-I11,"")</f>
        <v/>
      </c>
      <c r="L11" s="68">
        <f>IF(AND(I11&lt;&gt;"",J11&lt;&gt;"",I11&lt;&gt;0),(J11-I11)/I11,"")</f>
        <v/>
      </c>
      <c r="M11" s="64" t="n"/>
      <c r="N11" s="64" t="n"/>
      <c r="O11" s="64" t="n"/>
    </row>
    <row r="12" ht="15" customHeight="1" s="250">
      <c r="A12" s="32" t="n">
        <v>8</v>
      </c>
      <c r="B12" s="232" t="n"/>
      <c r="C12" s="232" t="n"/>
      <c r="D12" s="82" t="n"/>
      <c r="E12" s="33" t="n"/>
      <c r="F12" s="33" t="n"/>
      <c r="G12" s="33" t="n"/>
      <c r="H12" s="33" t="n"/>
      <c r="I12" s="24" t="n"/>
      <c r="J12" s="24" t="n"/>
      <c r="K12" s="69">
        <f>IF(AND(I12&lt;&gt;"",J12&lt;&gt;""),J12-I12,"")</f>
        <v/>
      </c>
      <c r="L12" s="70">
        <f>IF(AND(I12&lt;&gt;"",J12&lt;&gt;"",I12&lt;&gt;0),(J12-I12)/I12,"")</f>
        <v/>
      </c>
      <c r="M12" s="232" t="n"/>
      <c r="N12" s="232" t="n"/>
      <c r="O12" s="232" t="n"/>
    </row>
    <row r="13" ht="15" customHeight="1" s="250">
      <c r="A13" s="32" t="n">
        <v>9</v>
      </c>
      <c r="B13" s="64" t="n"/>
      <c r="C13" s="64" t="n"/>
      <c r="D13" s="81" t="n"/>
      <c r="E13" s="65" t="n"/>
      <c r="F13" s="65" t="n"/>
      <c r="G13" s="65" t="n"/>
      <c r="H13" s="65" t="n"/>
      <c r="I13" s="66" t="n"/>
      <c r="J13" s="66" t="n"/>
      <c r="K13" s="67">
        <f>IF(AND(I13&lt;&gt;"",J13&lt;&gt;""),J13-I13,"")</f>
        <v/>
      </c>
      <c r="L13" s="68">
        <f>IF(AND(I13&lt;&gt;"",J13&lt;&gt;"",I13&lt;&gt;0),(J13-I13)/I13,"")</f>
        <v/>
      </c>
      <c r="M13" s="64" t="n"/>
      <c r="N13" s="64" t="n"/>
      <c r="O13" s="64" t="n"/>
    </row>
    <row r="14" ht="15" customHeight="1" s="250">
      <c r="A14" s="32" t="n">
        <v>10</v>
      </c>
      <c r="B14" s="232" t="n"/>
      <c r="C14" s="232" t="n"/>
      <c r="D14" s="82" t="n"/>
      <c r="E14" s="33" t="n"/>
      <c r="F14" s="33" t="n"/>
      <c r="G14" s="33" t="n"/>
      <c r="H14" s="33" t="n"/>
      <c r="I14" s="24" t="n"/>
      <c r="J14" s="24" t="n"/>
      <c r="K14" s="69">
        <f>IF(AND(I14&lt;&gt;"",J14&lt;&gt;""),J14-I14,"")</f>
        <v/>
      </c>
      <c r="L14" s="70">
        <f>IF(AND(I14&lt;&gt;"",J14&lt;&gt;"",I14&lt;&gt;0),(J14-I14)/I14,"")</f>
        <v/>
      </c>
      <c r="M14" s="232" t="n"/>
      <c r="N14" s="232" t="n"/>
      <c r="O14" s="232" t="n"/>
    </row>
    <row r="15" ht="15" customHeight="1" s="250">
      <c r="A15" s="32" t="n">
        <v>11</v>
      </c>
      <c r="B15" s="64" t="n"/>
      <c r="C15" s="64" t="n"/>
      <c r="D15" s="81" t="n"/>
      <c r="E15" s="65" t="n"/>
      <c r="F15" s="65" t="n"/>
      <c r="G15" s="65" t="n"/>
      <c r="H15" s="65" t="n"/>
      <c r="I15" s="66" t="n"/>
      <c r="J15" s="66" t="n"/>
      <c r="K15" s="67">
        <f>IF(AND(I15&lt;&gt;"",J15&lt;&gt;""),J15-I15,"")</f>
        <v/>
      </c>
      <c r="L15" s="68">
        <f>IF(AND(I15&lt;&gt;"",J15&lt;&gt;"",I15&lt;&gt;0),(J15-I15)/I15,"")</f>
        <v/>
      </c>
      <c r="M15" s="64" t="n"/>
      <c r="N15" s="64" t="n"/>
      <c r="O15" s="64" t="n"/>
    </row>
    <row r="16" ht="15" customHeight="1" s="250">
      <c r="A16" s="32" t="n">
        <v>12</v>
      </c>
      <c r="B16" s="232" t="n"/>
      <c r="C16" s="232" t="n"/>
      <c r="D16" s="82" t="n"/>
      <c r="E16" s="33" t="n"/>
      <c r="F16" s="33" t="n"/>
      <c r="G16" s="33" t="n"/>
      <c r="H16" s="33" t="n"/>
      <c r="I16" s="24" t="n"/>
      <c r="J16" s="24" t="n"/>
      <c r="K16" s="69">
        <f>IF(AND(I16&lt;&gt;"",J16&lt;&gt;""),J16-I16,"")</f>
        <v/>
      </c>
      <c r="L16" s="70">
        <f>IF(AND(I16&lt;&gt;"",J16&lt;&gt;"",I16&lt;&gt;0),(J16-I16)/I16,"")</f>
        <v/>
      </c>
      <c r="M16" s="232" t="n"/>
      <c r="N16" s="232" t="n"/>
      <c r="O16" s="232" t="n"/>
    </row>
    <row r="17" ht="15" customHeight="1" s="250">
      <c r="A17" s="32" t="n">
        <v>13</v>
      </c>
      <c r="B17" s="64" t="n"/>
      <c r="C17" s="64" t="n"/>
      <c r="D17" s="81" t="n"/>
      <c r="E17" s="65" t="n"/>
      <c r="F17" s="65" t="n"/>
      <c r="G17" s="65" t="n"/>
      <c r="H17" s="65" t="n"/>
      <c r="I17" s="66" t="n"/>
      <c r="J17" s="66" t="n"/>
      <c r="K17" s="67">
        <f>IF(AND(I17&lt;&gt;"",J17&lt;&gt;""),J17-I17,"")</f>
        <v/>
      </c>
      <c r="L17" s="68">
        <f>IF(AND(I17&lt;&gt;"",J17&lt;&gt;"",I17&lt;&gt;0),(J17-I17)/I17,"")</f>
        <v/>
      </c>
      <c r="M17" s="64" t="n"/>
      <c r="N17" s="64" t="n"/>
      <c r="O17" s="64" t="n"/>
    </row>
    <row r="18" ht="15" customHeight="1" s="250">
      <c r="A18" s="32" t="n">
        <v>14</v>
      </c>
      <c r="B18" s="232" t="n"/>
      <c r="C18" s="232" t="n"/>
      <c r="D18" s="82" t="n"/>
      <c r="E18" s="33" t="n"/>
      <c r="F18" s="33" t="n"/>
      <c r="G18" s="33" t="n"/>
      <c r="H18" s="33" t="n"/>
      <c r="I18" s="24" t="n"/>
      <c r="J18" s="24" t="n"/>
      <c r="K18" s="69">
        <f>IF(AND(I18&lt;&gt;"",J18&lt;&gt;""),J18-I18,"")</f>
        <v/>
      </c>
      <c r="L18" s="70">
        <f>IF(AND(I18&lt;&gt;"",J18&lt;&gt;"",I18&lt;&gt;0),(J18-I18)/I18,"")</f>
        <v/>
      </c>
      <c r="M18" s="232" t="n"/>
      <c r="N18" s="232" t="n"/>
      <c r="O18" s="232" t="n"/>
    </row>
    <row r="19" ht="15" customHeight="1" s="250">
      <c r="A19" s="32" t="n">
        <v>15</v>
      </c>
      <c r="B19" s="64" t="n"/>
      <c r="C19" s="64" t="n"/>
      <c r="D19" s="81" t="n"/>
      <c r="E19" s="65" t="n"/>
      <c r="F19" s="65" t="n"/>
      <c r="G19" s="65" t="n"/>
      <c r="H19" s="65" t="n"/>
      <c r="I19" s="66" t="n"/>
      <c r="J19" s="66" t="n"/>
      <c r="K19" s="67">
        <f>IF(AND(I19&lt;&gt;"",J19&lt;&gt;""),J19-I19,"")</f>
        <v/>
      </c>
      <c r="L19" s="68">
        <f>IF(AND(I19&lt;&gt;"",J19&lt;&gt;"",I19&lt;&gt;0),(J19-I19)/I19,"")</f>
        <v/>
      </c>
      <c r="M19" s="64" t="n"/>
      <c r="N19" s="64" t="n"/>
      <c r="O19" s="64" t="n"/>
    </row>
    <row r="20" ht="15" customHeight="1" s="250">
      <c r="A20" s="32" t="n">
        <v>16</v>
      </c>
      <c r="B20" s="232" t="n"/>
      <c r="C20" s="232" t="n"/>
      <c r="D20" s="82" t="n"/>
      <c r="E20" s="33" t="n"/>
      <c r="F20" s="33" t="n"/>
      <c r="G20" s="33" t="n"/>
      <c r="H20" s="33" t="n"/>
      <c r="I20" s="24" t="n"/>
      <c r="J20" s="24" t="n"/>
      <c r="K20" s="69">
        <f>IF(AND(I20&lt;&gt;"",J20&lt;&gt;""),J20-I20,"")</f>
        <v/>
      </c>
      <c r="L20" s="70">
        <f>IF(AND(I20&lt;&gt;"",J20&lt;&gt;"",I20&lt;&gt;0),(J20-I20)/I20,"")</f>
        <v/>
      </c>
      <c r="M20" s="232" t="n"/>
      <c r="N20" s="232" t="n"/>
      <c r="O20" s="232" t="n"/>
    </row>
    <row r="21" ht="15" customHeight="1" s="250">
      <c r="A21" s="32" t="n">
        <v>17</v>
      </c>
      <c r="B21" s="64" t="n"/>
      <c r="C21" s="64" t="n"/>
      <c r="D21" s="81" t="n"/>
      <c r="E21" s="65" t="n"/>
      <c r="F21" s="65" t="n"/>
      <c r="G21" s="65" t="n"/>
      <c r="H21" s="65" t="n"/>
      <c r="I21" s="66" t="n"/>
      <c r="J21" s="66" t="n"/>
      <c r="K21" s="67">
        <f>IF(AND(I21&lt;&gt;"",J21&lt;&gt;""),J21-I21,"")</f>
        <v/>
      </c>
      <c r="L21" s="68">
        <f>IF(AND(I21&lt;&gt;"",J21&lt;&gt;"",I21&lt;&gt;0),(J21-I21)/I21,"")</f>
        <v/>
      </c>
      <c r="M21" s="64" t="n"/>
      <c r="N21" s="64" t="n"/>
      <c r="O21" s="64" t="n"/>
    </row>
    <row r="22" ht="15" customHeight="1" s="250">
      <c r="A22" s="32" t="n">
        <v>18</v>
      </c>
      <c r="B22" s="232" t="n"/>
      <c r="C22" s="232" t="n"/>
      <c r="D22" s="82" t="n"/>
      <c r="E22" s="33" t="n"/>
      <c r="F22" s="33" t="n"/>
      <c r="G22" s="33" t="n"/>
      <c r="H22" s="33" t="n"/>
      <c r="I22" s="24" t="n"/>
      <c r="J22" s="24" t="n"/>
      <c r="K22" s="69">
        <f>IF(AND(I22&lt;&gt;"",J22&lt;&gt;""),J22-I22,"")</f>
        <v/>
      </c>
      <c r="L22" s="70">
        <f>IF(AND(I22&lt;&gt;"",J22&lt;&gt;"",I22&lt;&gt;0),(J22-I22)/I22,"")</f>
        <v/>
      </c>
      <c r="M22" s="232" t="n"/>
      <c r="N22" s="232" t="n"/>
      <c r="O22" s="232" t="n"/>
    </row>
    <row r="23" ht="15" customHeight="1" s="250">
      <c r="A23" s="32" t="n">
        <v>19</v>
      </c>
      <c r="B23" s="64" t="n"/>
      <c r="C23" s="64" t="n"/>
      <c r="D23" s="81" t="n"/>
      <c r="E23" s="65" t="n"/>
      <c r="F23" s="65" t="n"/>
      <c r="G23" s="65" t="n"/>
      <c r="H23" s="65" t="n"/>
      <c r="I23" s="66" t="n"/>
      <c r="J23" s="66" t="n"/>
      <c r="K23" s="67">
        <f>IF(AND(I23&lt;&gt;"",J23&lt;&gt;""),J23-I23,"")</f>
        <v/>
      </c>
      <c r="L23" s="68">
        <f>IF(AND(I23&lt;&gt;"",J23&lt;&gt;"",I23&lt;&gt;0),(J23-I23)/I23,"")</f>
        <v/>
      </c>
      <c r="M23" s="64" t="n"/>
      <c r="N23" s="64" t="n"/>
      <c r="O23" s="64" t="n"/>
    </row>
    <row r="24" ht="15" customHeight="1" s="250">
      <c r="A24" s="32" t="n">
        <v>20</v>
      </c>
      <c r="B24" s="232" t="n"/>
      <c r="C24" s="232" t="n"/>
      <c r="D24" s="82" t="n"/>
      <c r="E24" s="33" t="n"/>
      <c r="F24" s="33" t="n"/>
      <c r="G24" s="33" t="n"/>
      <c r="H24" s="33" t="n"/>
      <c r="I24" s="24" t="n"/>
      <c r="J24" s="24" t="n"/>
      <c r="K24" s="69">
        <f>IF(AND(I24&lt;&gt;"",J24&lt;&gt;""),J24-I24,"")</f>
        <v/>
      </c>
      <c r="L24" s="70">
        <f>IF(AND(I24&lt;&gt;"",J24&lt;&gt;"",I24&lt;&gt;0),(J24-I24)/I24,"")</f>
        <v/>
      </c>
      <c r="M24" s="232" t="n"/>
      <c r="N24" s="232" t="n"/>
      <c r="O24" s="232" t="n"/>
    </row>
    <row r="25" ht="15" customHeight="1" s="250">
      <c r="A25" s="32" t="n">
        <v>21</v>
      </c>
      <c r="B25" s="64" t="n"/>
      <c r="C25" s="64" t="n"/>
      <c r="D25" s="81" t="n"/>
      <c r="E25" s="65" t="n"/>
      <c r="F25" s="65" t="n"/>
      <c r="G25" s="65" t="n"/>
      <c r="H25" s="65" t="n"/>
      <c r="I25" s="66" t="n"/>
      <c r="J25" s="66" t="n"/>
      <c r="K25" s="67">
        <f>IF(AND(I25&lt;&gt;"",J25&lt;&gt;""),J25-I25,"")</f>
        <v/>
      </c>
      <c r="L25" s="68">
        <f>IF(AND(I25&lt;&gt;"",J25&lt;&gt;"",I25&lt;&gt;0),(J25-I25)/I25,"")</f>
        <v/>
      </c>
      <c r="M25" s="64" t="n"/>
      <c r="N25" s="64" t="n"/>
      <c r="O25" s="64" t="n"/>
    </row>
    <row r="26" ht="15" customHeight="1" s="250">
      <c r="A26" s="32" t="n">
        <v>22</v>
      </c>
      <c r="B26" s="232" t="n"/>
      <c r="C26" s="232" t="n"/>
      <c r="D26" s="82" t="n"/>
      <c r="E26" s="33" t="n"/>
      <c r="F26" s="33" t="n"/>
      <c r="G26" s="33" t="n"/>
      <c r="H26" s="33" t="n"/>
      <c r="I26" s="24" t="n"/>
      <c r="J26" s="24" t="n"/>
      <c r="K26" s="69">
        <f>IF(AND(I26&lt;&gt;"",J26&lt;&gt;""),J26-I26,"")</f>
        <v/>
      </c>
      <c r="L26" s="70">
        <f>IF(AND(I26&lt;&gt;"",J26&lt;&gt;"",I26&lt;&gt;0),(J26-I26)/I26,"")</f>
        <v/>
      </c>
      <c r="M26" s="232" t="n"/>
      <c r="N26" s="232" t="n"/>
      <c r="O26" s="232" t="n"/>
    </row>
    <row r="27" ht="15" customHeight="1" s="250">
      <c r="A27" s="32" t="n">
        <v>23</v>
      </c>
      <c r="B27" s="64" t="n"/>
      <c r="C27" s="64" t="n"/>
      <c r="D27" s="81" t="n"/>
      <c r="E27" s="65" t="n"/>
      <c r="F27" s="65" t="n"/>
      <c r="G27" s="65" t="n"/>
      <c r="H27" s="65" t="n"/>
      <c r="I27" s="66" t="n"/>
      <c r="J27" s="66" t="n"/>
      <c r="K27" s="67">
        <f>IF(AND(I27&lt;&gt;"",J27&lt;&gt;""),J27-I27,"")</f>
        <v/>
      </c>
      <c r="L27" s="68">
        <f>IF(AND(I27&lt;&gt;"",J27&lt;&gt;"",I27&lt;&gt;0),(J27-I27)/I27,"")</f>
        <v/>
      </c>
      <c r="M27" s="64" t="n"/>
      <c r="N27" s="64" t="n"/>
      <c r="O27" s="64" t="n"/>
    </row>
    <row r="28" ht="15" customHeight="1" s="250">
      <c r="A28" s="32" t="n">
        <v>24</v>
      </c>
      <c r="B28" s="232" t="n"/>
      <c r="C28" s="232" t="n"/>
      <c r="D28" s="82" t="n"/>
      <c r="E28" s="33" t="n"/>
      <c r="F28" s="33" t="n"/>
      <c r="G28" s="33" t="n"/>
      <c r="H28" s="33" t="n"/>
      <c r="I28" s="24" t="n"/>
      <c r="J28" s="24" t="n"/>
      <c r="K28" s="69">
        <f>IF(AND(I28&lt;&gt;"",J28&lt;&gt;""),J28-I28,"")</f>
        <v/>
      </c>
      <c r="L28" s="70">
        <f>IF(AND(I28&lt;&gt;"",J28&lt;&gt;"",I28&lt;&gt;0),(J28-I28)/I28,"")</f>
        <v/>
      </c>
      <c r="M28" s="232" t="n"/>
      <c r="N28" s="232" t="n"/>
      <c r="O28" s="232" t="n"/>
    </row>
    <row r="29" ht="15" customHeight="1" s="250">
      <c r="A29" s="32" t="n">
        <v>25</v>
      </c>
      <c r="B29" s="64" t="n"/>
      <c r="C29" s="64" t="n"/>
      <c r="D29" s="81" t="n"/>
      <c r="E29" s="65" t="n"/>
      <c r="F29" s="65" t="n"/>
      <c r="G29" s="65" t="n"/>
      <c r="H29" s="65" t="n"/>
      <c r="I29" s="66" t="n"/>
      <c r="J29" s="66" t="n"/>
      <c r="K29" s="67">
        <f>IF(AND(I29&lt;&gt;"",J29&lt;&gt;""),J29-I29,"")</f>
        <v/>
      </c>
      <c r="L29" s="68">
        <f>IF(AND(I29&lt;&gt;"",J29&lt;&gt;"",I29&lt;&gt;0),(J29-I29)/I29,"")</f>
        <v/>
      </c>
      <c r="M29" s="64" t="n"/>
      <c r="N29" s="64" t="n"/>
      <c r="O29" s="64" t="n"/>
    </row>
    <row r="31" ht="15" customHeight="1" s="250">
      <c r="A31" s="229" t="inlineStr">
        <is>
          <t>SUMMARY STATISTICS</t>
        </is>
      </c>
      <c r="B31" s="61" t="n"/>
      <c r="C31" s="61" t="n"/>
      <c r="D31" s="61" t="n"/>
      <c r="E31" s="61" t="n"/>
      <c r="F31" s="61" t="n"/>
      <c r="G31" s="61" t="n"/>
      <c r="H31" s="62" t="n"/>
    </row>
    <row r="32" ht="15" customHeight="1" s="250">
      <c r="A32" s="251" t="inlineStr">
        <is>
          <t>Total Jobs Tracked</t>
        </is>
      </c>
      <c r="B32" s="256" t="n"/>
      <c r="C32" s="192" t="n"/>
      <c r="D32" s="23">
        <f>COUNTA(B5:B29)</f>
        <v/>
      </c>
    </row>
    <row r="33" ht="15" customHeight="1" s="250">
      <c r="A33" s="251" t="inlineStr">
        <is>
          <t>Jobs Won</t>
        </is>
      </c>
      <c r="B33" s="256" t="n"/>
      <c r="C33" s="192" t="n"/>
      <c r="D33" s="23">
        <f>COUNTIF(M5:M29,"Won")</f>
        <v/>
      </c>
    </row>
    <row r="34" ht="15" customHeight="1" s="250">
      <c r="A34" s="251" t="inlineStr">
        <is>
          <t>Win Rate %</t>
        </is>
      </c>
      <c r="B34" s="256" t="n"/>
      <c r="C34" s="192" t="n"/>
      <c r="D34" s="71">
        <f>IF(COUNTA(B5:B29)&gt;0,COUNTIF(M5:M29,"Won")/COUNTA(B5:B29),0)</f>
        <v/>
      </c>
    </row>
    <row r="35" ht="15" customHeight="1" s="250">
      <c r="A35" s="251" t="inlineStr">
        <is>
          <t>Avg Labor Variance %</t>
        </is>
      </c>
      <c r="B35" s="256" t="n"/>
      <c r="C35" s="192" t="n"/>
      <c r="D35" s="71">
        <f>IFERROR(AVERAGE(L5:L29),0)</f>
        <v/>
      </c>
    </row>
    <row r="36" ht="15" customHeight="1" s="250">
      <c r="A36" s="251" t="inlineStr">
        <is>
          <t>Avg Cost Variance ($)</t>
        </is>
      </c>
      <c r="B36" s="256" t="n"/>
      <c r="C36" s="192" t="n"/>
      <c r="D36" s="29">
        <f>IFERROR(AVERAGE(K5:K29),0)</f>
        <v/>
      </c>
    </row>
  </sheetData>
  <mergeCells count="8">
    <mergeCell ref="A33:C33"/>
    <mergeCell ref="A36:C36"/>
    <mergeCell ref="A2:O2"/>
    <mergeCell ref="A32:C32"/>
    <mergeCell ref="A1:O1"/>
    <mergeCell ref="A34:C34"/>
    <mergeCell ref="A35:C35"/>
    <mergeCell ref="A31:H31"/>
  </mergeCells>
  <dataValidations count="1">
    <dataValidation sqref="M5:M29" showDropDown="0" showInputMessage="0" showErrorMessage="0" allowBlank="1" type="list">
      <formula1>"Won,Lost,Pending,No Bid"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1F4E78"/>
    <outlinePr summaryBelow="1" summaryRight="1"/>
    <pageSetUpPr/>
  </sheetPr>
  <dimension ref="A1:G32"/>
  <sheetViews>
    <sheetView showGridLines="0" zoomScaleNormal="100" workbookViewId="0">
      <selection activeCell="B27" sqref="B27"/>
    </sheetView>
  </sheetViews>
  <sheetFormatPr baseColWidth="8" defaultColWidth="8.7109375" defaultRowHeight="15"/>
  <cols>
    <col width="38" customWidth="1" style="250" min="1" max="1"/>
    <col width="20" customWidth="1" style="250" min="2" max="2"/>
    <col width="28" customWidth="1" style="250" min="3" max="3"/>
    <col width="20" customWidth="1" style="250" min="4" max="4"/>
    <col width="3" customWidth="1" style="250" min="5" max="5"/>
    <col width="38" customWidth="1" style="250" min="6" max="6"/>
    <col width="20" customWidth="1" style="250" min="7" max="7"/>
  </cols>
  <sheetData>
    <row r="1" ht="27.75" customHeight="1" s="250">
      <c r="A1" s="223" t="inlineStr">
        <is>
          <t>BARRETT PLUMBING INC. — COMMERCIAL ESTIMATOR SETTINGS</t>
        </is>
      </c>
      <c r="B1" s="61" t="n"/>
      <c r="C1" s="61" t="n"/>
      <c r="D1" s="61" t="n"/>
      <c r="E1" s="61" t="n"/>
      <c r="F1" s="61" t="n"/>
      <c r="G1" s="62" t="n"/>
    </row>
    <row r="2" ht="15.75" customHeight="1" s="250">
      <c r="A2" s="224" t="inlineStr">
        <is>
          <t>Configure labor rates, overhead, and markup. All other sheets reference these values.</t>
        </is>
      </c>
    </row>
    <row r="4" ht="15" customHeight="1" s="250">
      <c r="A4" s="225" t="inlineStr">
        <is>
          <t>LABOR RATES</t>
        </is>
      </c>
      <c r="B4" s="61" t="n"/>
      <c r="C4" s="61" t="n"/>
      <c r="D4" s="62" t="n"/>
      <c r="F4" s="229" t="inlineStr">
        <is>
          <t>MICHIGAN COMMERCIAL PERMIT FEE REFERENCE</t>
        </is>
      </c>
      <c r="G4" s="62" t="n"/>
    </row>
    <row r="5" ht="15" customHeight="1" s="250">
      <c r="A5" s="249" t="inlineStr">
        <is>
          <t>Master Plumber — Billable Rate ($/hr)</t>
        </is>
      </c>
      <c r="B5" s="6">
        <f>66.14 + 42</f>
        <v/>
      </c>
      <c r="C5" s="252" t="inlineStr">
        <is>
          <t>Fully burdened field billing rate</t>
        </is>
      </c>
      <c r="D5" s="192" t="n"/>
      <c r="F5" s="253" t="inlineStr">
        <is>
          <t>Michigan commercial permit fees are typically valuation-based.</t>
        </is>
      </c>
      <c r="G5" s="192" t="n"/>
    </row>
    <row r="6" ht="15" customHeight="1" s="250">
      <c r="A6" s="249" t="inlineStr">
        <is>
          <t>Journeyman Plumber — Billable Rate ($/hr)</t>
        </is>
      </c>
      <c r="B6" s="6">
        <f>66.14+40</f>
        <v/>
      </c>
      <c r="C6" s="252" t="n"/>
      <c r="D6" s="192" t="n"/>
      <c r="F6" s="7" t="inlineStr">
        <is>
          <t>Project Valuation</t>
        </is>
      </c>
      <c r="G6" s="8" t="inlineStr">
        <is>
          <t>Est. Permit Fee</t>
        </is>
      </c>
    </row>
    <row r="7" ht="15" customHeight="1" s="250">
      <c r="A7" s="249" t="inlineStr">
        <is>
          <t>Apprentice Plumber — Billable Rate ($/hr)</t>
        </is>
      </c>
      <c r="B7" s="6">
        <f>66.14+23</f>
        <v/>
      </c>
      <c r="C7" s="252" t="n"/>
      <c r="D7" s="192" t="n"/>
      <c r="F7" s="249" t="inlineStr">
        <is>
          <t>Up to $10,000</t>
        </is>
      </c>
      <c r="G7" s="9" t="inlineStr">
        <is>
          <t>$150 – $250</t>
        </is>
      </c>
    </row>
    <row r="8" ht="15" customHeight="1" s="250">
      <c r="A8" s="249" t="inlineStr">
        <is>
          <t>Default Crew Mix — Master Hours %</t>
        </is>
      </c>
      <c r="B8" s="10" t="n">
        <v>0</v>
      </c>
      <c r="C8" s="252" t="inlineStr">
        <is>
          <t>e.g. 30% of hours billed at master rate</t>
        </is>
      </c>
      <c r="D8" s="192" t="n"/>
      <c r="F8" s="249" t="inlineStr">
        <is>
          <t>$10,001 – $25,000</t>
        </is>
      </c>
      <c r="G8" s="9" t="inlineStr">
        <is>
          <t>$250 – $450</t>
        </is>
      </c>
    </row>
    <row r="9" ht="15" customHeight="1" s="250">
      <c r="A9" s="249" t="inlineStr">
        <is>
          <t>Default Crew Mix — Journeyman Hours %</t>
        </is>
      </c>
      <c r="B9" s="10" t="n">
        <v>0.334</v>
      </c>
      <c r="C9" s="252" t="n"/>
      <c r="D9" s="192" t="n"/>
      <c r="F9" s="249" t="inlineStr">
        <is>
          <t>$25,001 – $50,000</t>
        </is>
      </c>
      <c r="G9" s="9" t="inlineStr">
        <is>
          <t>$450 – $750</t>
        </is>
      </c>
    </row>
    <row r="10" ht="15" customHeight="1" s="250">
      <c r="A10" s="249" t="inlineStr">
        <is>
          <t>Default Crew Mix — Apprentice Hours %</t>
        </is>
      </c>
      <c r="B10" s="10" t="n">
        <v>0.666</v>
      </c>
      <c r="C10" s="252" t="n"/>
      <c r="D10" s="192" t="n"/>
      <c r="F10" s="249" t="inlineStr">
        <is>
          <t>$50,001 – $100,000</t>
        </is>
      </c>
      <c r="G10" s="9" t="inlineStr">
        <is>
          <t>$750 – $1,200</t>
        </is>
      </c>
    </row>
    <row r="11" ht="15" customHeight="1" s="250">
      <c r="A11" s="251" t="inlineStr">
        <is>
          <t>Blended Labor Rate ($/hr) — AUTO</t>
        </is>
      </c>
      <c r="B11" s="12">
        <f>B8*B5+B9*B6+B10*B7</f>
        <v/>
      </c>
      <c r="C11" s="254" t="inlineStr">
        <is>
          <t>Auto-calculated from mix above</t>
        </is>
      </c>
      <c r="D11" s="192" t="n"/>
      <c r="F11" s="249" t="inlineStr">
        <is>
          <t>$100,001 – $250,000</t>
        </is>
      </c>
      <c r="G11" s="9" t="inlineStr">
        <is>
          <t>$1,200 – $2,500</t>
        </is>
      </c>
    </row>
    <row r="12" ht="15" customHeight="1" s="250" thickBot="1">
      <c r="F12" s="249" t="n"/>
      <c r="G12" s="9" t="n"/>
    </row>
    <row r="13" ht="15" customHeight="1" s="250" thickBot="1">
      <c r="A13" s="205" t="inlineStr">
        <is>
          <t>COMPLEXITY MULTIPLIERS</t>
        </is>
      </c>
      <c r="B13" s="204" t="inlineStr">
        <is>
          <t>COMPLEXITY MULTIPLIERS</t>
        </is>
      </c>
      <c r="C13" s="204" t="inlineStr">
        <is>
          <t>COMPLEXITY MULTIPLIERS</t>
        </is>
      </c>
      <c r="D13" s="209" t="inlineStr">
        <is>
          <t>COMPLEXITY MULTIPLIERS</t>
        </is>
      </c>
      <c r="F13" s="249" t="n"/>
      <c r="G13" s="9" t="n"/>
    </row>
    <row r="14" ht="15" customHeight="1" s="250">
      <c r="A14" s="210" t="inlineStr">
        <is>
          <t>Normal</t>
        </is>
      </c>
      <c r="B14" s="206" t="n">
        <v>0</v>
      </c>
      <c r="C14" s="207" t="inlineStr">
        <is>
          <t>Labor hour adder — 0% = no change</t>
        </is>
      </c>
      <c r="D14" s="213" t="n"/>
      <c r="F14" s="249" t="n"/>
      <c r="G14" s="9" t="n"/>
    </row>
    <row r="15" ht="15" customHeight="1" s="250">
      <c r="A15" s="214" t="inlineStr">
        <is>
          <t>High</t>
        </is>
      </c>
      <c r="B15" s="211" t="n">
        <v>0.15</v>
      </c>
      <c r="C15" s="212" t="inlineStr">
        <is>
          <t>Labor hour adder — 15% increase</t>
        </is>
      </c>
      <c r="D15" s="215" t="n"/>
      <c r="F15" s="249" t="n"/>
      <c r="G15" s="9" t="n"/>
    </row>
    <row r="16" ht="15" customHeight="1" s="250">
      <c r="A16" s="214" t="inlineStr">
        <is>
          <t>Very High</t>
        </is>
      </c>
      <c r="B16" s="211" t="n">
        <v>0.25</v>
      </c>
      <c r="C16" s="212" t="inlineStr">
        <is>
          <t>Labor hour adder — 25% increase</t>
        </is>
      </c>
      <c r="D16" s="215" t="n"/>
      <c r="F16" s="249" t="n"/>
      <c r="G16" s="9" t="n"/>
    </row>
    <row r="17" ht="15" customHeight="1" s="250" thickBot="1">
      <c r="A17" s="216" t="inlineStr">
        <is>
          <t>Active Complexity Multiplier</t>
        </is>
      </c>
      <c r="B17" s="219">
        <f>1+IF(INPUT!E10="High",B15,IF(INPUT!E10="Very High",B16,B14))</f>
        <v/>
      </c>
      <c r="C17" s="217" t="inlineStr">
        <is>
          <t>Auto: 1 + selected complexity adder</t>
        </is>
      </c>
      <c r="D17" s="218" t="n"/>
      <c r="F17" s="249" t="n"/>
      <c r="G17" s="9" t="n"/>
    </row>
    <row r="18" ht="15" customHeight="1" s="250">
      <c r="A18" s="208" t="n"/>
      <c r="B18" s="208" t="n"/>
      <c r="C18" s="208" t="n"/>
      <c r="D18" s="208" t="n"/>
      <c r="F18" s="249" t="n"/>
      <c r="G18" s="9" t="n"/>
    </row>
    <row r="19" ht="15" customHeight="1" s="250">
      <c r="F19" s="249" t="inlineStr">
        <is>
          <t>$250,001 – $500,000</t>
        </is>
      </c>
      <c r="G19" s="9" t="inlineStr">
        <is>
          <t>$2,500 – $4,500</t>
        </is>
      </c>
    </row>
    <row r="20" ht="15" customHeight="1" s="250">
      <c r="A20" s="225" t="inlineStr">
        <is>
          <t>MARKUP &amp; OVERHEAD</t>
        </is>
      </c>
      <c r="B20" s="61" t="n"/>
      <c r="C20" s="61" t="n"/>
      <c r="D20" s="62" t="n"/>
      <c r="F20" s="249" t="inlineStr">
        <is>
          <t>$500,001+</t>
        </is>
      </c>
      <c r="G20" s="9" t="inlineStr">
        <is>
          <t>Contact jurisdiction</t>
        </is>
      </c>
    </row>
    <row r="21" ht="15" customHeight="1" s="250">
      <c r="A21" s="249" t="inlineStr">
        <is>
          <t>Material Markup %</t>
        </is>
      </c>
      <c r="B21" s="10" t="n">
        <v>0.25</v>
      </c>
      <c r="F21" s="249" t="n"/>
      <c r="G21" s="9" t="n"/>
    </row>
    <row r="22" ht="15" customHeight="1" s="250">
      <c r="A22" s="249" t="inlineStr">
        <is>
          <t>Overhead &amp; Burden %</t>
        </is>
      </c>
      <c r="B22" s="10" t="n">
        <v>0.58</v>
      </c>
      <c r="F22" s="249" t="inlineStr">
        <is>
          <t>Plan Review Fee (typical)</t>
        </is>
      </c>
      <c r="G22" s="9" t="inlineStr">
        <is>
          <t>65% of permit fee</t>
        </is>
      </c>
    </row>
    <row r="23" ht="15" customHeight="1" s="250">
      <c r="A23" s="249" t="inlineStr">
        <is>
          <t>Profit Margin %</t>
        </is>
      </c>
      <c r="B23" s="10" t="n">
        <v>0.23</v>
      </c>
      <c r="F23" s="249" t="inlineStr">
        <is>
          <t>Inspection Fee (each trip)</t>
        </is>
      </c>
      <c r="G23" s="9" t="inlineStr">
        <is>
          <t>$75 – $150</t>
        </is>
      </c>
    </row>
    <row r="24" ht="15" customHeight="1" s="250">
      <c r="A24" s="249" t="inlineStr">
        <is>
          <t>Bond / Insurance % (if applicable)</t>
        </is>
      </c>
      <c r="B24" s="10" t="n">
        <v>0</v>
      </c>
      <c r="F24" s="249" t="inlineStr">
        <is>
          <t>Re-inspection Fee</t>
        </is>
      </c>
      <c r="G24" s="9" t="inlineStr">
        <is>
          <t>$100 – $200</t>
        </is>
      </c>
    </row>
    <row r="25" ht="15" customHeight="1" s="250">
      <c r="A25" s="249" t="inlineStr">
        <is>
          <t>Contingency — Low Confidence %</t>
        </is>
      </c>
      <c r="B25" s="10" t="n">
        <v>0.2</v>
      </c>
      <c r="F25" s="249" t="n"/>
      <c r="G25" s="9" t="n"/>
    </row>
    <row r="26" ht="15" customHeight="1" s="250">
      <c r="A26" s="249" t="inlineStr">
        <is>
          <t>Contingency — Mid Confidence %</t>
        </is>
      </c>
      <c r="B26" s="10" t="n">
        <v>0.12</v>
      </c>
      <c r="F26" s="249" t="inlineStr">
        <is>
          <t>⚠ Note: Fees vary by municipality.</t>
        </is>
      </c>
      <c r="G26" s="9" t="inlineStr">
        <is>
          <t>Always verify with AHJ.</t>
        </is>
      </c>
    </row>
    <row r="27" ht="15" customHeight="1" s="250">
      <c r="A27" s="249" t="inlineStr">
        <is>
          <t>Contingency — High Confidence %</t>
        </is>
      </c>
      <c r="B27" s="10" t="n">
        <v>0.05</v>
      </c>
    </row>
    <row r="29" ht="15" customHeight="1" s="250">
      <c r="A29" s="225" t="inlineStr">
        <is>
          <t>MOBILIZATION &amp; TRAVEL</t>
        </is>
      </c>
      <c r="B29" s="61" t="n"/>
      <c r="C29" s="61" t="n"/>
      <c r="D29" s="62" t="n"/>
    </row>
    <row r="30" ht="15" customHeight="1" s="250">
      <c r="A30" s="249" t="inlineStr">
        <is>
          <t>Mobilization — Fixed Cost per Job ($)</t>
        </is>
      </c>
      <c r="B30" s="6">
        <f>B11*B32</f>
        <v/>
      </c>
      <c r="C30" s="83" t="inlineStr">
        <is>
          <t>1 hr/day × blended rate (auto)</t>
        </is>
      </c>
    </row>
    <row r="31" ht="15" customHeight="1" s="250">
      <c r="A31" s="249" t="inlineStr">
        <is>
          <t>Travel / Per Diem per Crew Day ($)</t>
        </is>
      </c>
      <c r="B31" s="6" t="n">
        <v>0</v>
      </c>
    </row>
    <row r="32" ht="15" customHeight="1" s="250">
      <c r="A32" s="249" t="inlineStr">
        <is>
          <t>Estimated Crew Days on Job</t>
        </is>
      </c>
      <c r="B32" s="13">
        <f>CEILING(SUMMARY!B18/8,1)</f>
        <v/>
      </c>
      <c r="C32" s="83" t="inlineStr">
        <is>
          <t>Auto: total labor hrs ÷ 8</t>
        </is>
      </c>
    </row>
  </sheetData>
  <mergeCells count="14">
    <mergeCell ref="F4:G4"/>
    <mergeCell ref="A1:G1"/>
    <mergeCell ref="C10:D10"/>
    <mergeCell ref="C6:D6"/>
    <mergeCell ref="C7:D7"/>
    <mergeCell ref="C11:D11"/>
    <mergeCell ref="A4:D4"/>
    <mergeCell ref="A20:D20"/>
    <mergeCell ref="C5:D5"/>
    <mergeCell ref="F5:G5"/>
    <mergeCell ref="A29:D29"/>
    <mergeCell ref="A2:G2"/>
    <mergeCell ref="C9:D9"/>
    <mergeCell ref="C8:D8"/>
  </mergeCells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" customWidth="1" style="250" min="1" max="1"/>
    <col width="34" customWidth="1" style="250" min="2" max="2"/>
    <col width="60" customWidth="1" style="250" min="3" max="3"/>
    <col width="60" customWidth="1" style="250" min="4" max="4"/>
  </cols>
  <sheetData>
    <row r="1">
      <c r="A1" s="273" t="inlineStr">
        <is>
          <t>BARRETT PLUMBING INC. — COMMERCIAL ESTIMATOR v3.1 CHANGES</t>
        </is>
      </c>
    </row>
    <row r="2">
      <c r="A2" s="274" t="inlineStr">
        <is>
          <t>Fixes to v3 found while building the create-budget-commercial skill. Rates and your inputs were not changed.</t>
        </is>
      </c>
    </row>
    <row r="4">
      <c r="A4" s="225" t="inlineStr">
        <is>
          <t>#</t>
        </is>
      </c>
      <c r="B4" s="225" t="inlineStr">
        <is>
          <t>Where</t>
        </is>
      </c>
      <c r="C4" s="225" t="inlineStr">
        <is>
          <t>Problem in v3</t>
        </is>
      </c>
      <c r="D4" s="225" t="inlineStr">
        <is>
          <t>Fix in v3.1</t>
        </is>
      </c>
    </row>
    <row r="5" ht="62" customHeight="1" s="250">
      <c r="A5" s="275" t="n">
        <v>1</v>
      </c>
      <c r="B5" s="275" t="inlineStr">
        <is>
          <t>DEMO ESTIMATE E37 / G37 / H37</t>
        </is>
      </c>
      <c r="C5" s="275" t="inlineStr">
        <is>
          <t>PIPE DEMO TOTAL used SUM(row 9:34), which also picked up the Cast Iron, PVC and Copper subtotal rows, so those demo hours and dollars were counted twice.</t>
        </is>
      </c>
      <c r="D5" s="275" t="inlineStr">
        <is>
          <t>Totals now add the four section subtotals (rows 13, 20, 28, 35).</t>
        </is>
      </c>
    </row>
    <row r="6" ht="62" customHeight="1" s="250">
      <c r="A6" s="275" t="n">
        <v>2</v>
      </c>
      <c r="B6" s="275" t="inlineStr">
        <is>
          <t>DEMO ESTIMATE D42:D66, H42:H66</t>
        </is>
      </c>
      <c r="C6" s="275" t="inlineStr">
        <is>
          <t>Cap/stub hours were added to the fixture demo cost (H) but not to the hours (D), so SUMMARY hours and crew-days missed them.</t>
        </is>
      </c>
      <c r="D6" s="275" t="inlineStr">
        <is>
          <t>D (TOTAL Demo Hrs) now includes cap/stub hours when the flag is Y; H = E. Dollar totals are unchanged.</t>
        </is>
      </c>
    </row>
    <row r="7" ht="62" customHeight="1" s="250">
      <c r="A7" s="275" t="n">
        <v>3</v>
      </c>
      <c r="B7" s="275" t="inlineStr">
        <is>
          <t>FIXTURE SCHEDULE row 36 &amp; new row 42; FIXTURE ESTIMATE B37</t>
        </is>
      </c>
      <c r="C7" s="275" t="inlineStr">
        <is>
          <t>One "Grease Interceptor / Sand Separator" count fed both the indoor (6 h) and exterior (12 h) estimate rows, so one interceptor was charged 18 h.</t>
        </is>
      </c>
      <c r="D7" s="275" t="inlineStr">
        <is>
          <t>Row 36 is now Grease Interceptor (Indoor); new row 42 is Ext. Grease Interceptor / Sand Sep. (exterior / in-ground) and feeds FIXTURE ESTIMATE row 37.</t>
        </is>
      </c>
    </row>
    <row r="8" ht="62" customHeight="1" s="250">
      <c r="A8" s="275" t="n">
        <v>4</v>
      </c>
      <c r="B8" s="275" t="inlineStr">
        <is>
          <t>LABOR TABLES new Table B2 (L15:Q23); PIPE ESTIMATE Sections 2-3</t>
        </is>
      </c>
      <c r="C8" s="275" t="inlineStr">
        <is>
          <t>Water piping labor and material always used the Type L copper rows, whatever INPUT → Water Supply Pipe Material said.</t>
        </is>
      </c>
      <c r="D8" s="275" t="inlineStr">
        <is>
          <t>Table B2 picks Type L, Type K or PEX-B rates from INPUT E12 (PEX-B only has 1" and smaller; larger sizes fall back to Type L). Cold and hot sections read Table B2.</t>
        </is>
      </c>
    </row>
    <row r="9" ht="62" customHeight="1" s="250">
      <c r="A9" s="275" t="n">
        <v>5</v>
      </c>
      <c r="B9" s="275" t="inlineStr">
        <is>
          <t>PIPE ESTIMATE new Section 6 (rows 56-62); SUMMARY rows 11 &amp; 24; FIXTURE ESTIMATE B48:B50</t>
        </is>
      </c>
      <c r="C9" s="275" t="inlineStr">
        <is>
          <t>Hot water recirculation LF on PIPE TAKEOFF was never priced: no labor, no material, no hangers.</t>
        </is>
      </c>
      <c r="D9" s="275" t="inlineStr">
        <is>
          <t>Section 6 prices recirc like the hot water section; SUMMARY shows it; recirc ceiling LF now counts toward hangers (6 ft spacing).</t>
        </is>
      </c>
    </row>
    <row r="10" ht="62" customHeight="1" s="250">
      <c r="A10" s="275" t="n">
        <v>6</v>
      </c>
      <c r="B10" s="275" t="inlineStr">
        <is>
          <t>LABOR TABLES I49:I53; FIXTURE ESTIMATE C48:C52</t>
        </is>
      </c>
      <c r="C10" s="275" t="inlineStr">
        <is>
          <t>Hanger hours were typed into FIXTURE ESTIMATE and disagreed with Table F (Table F had 1.0 / 1.5 / 0.20 / 0.15).</t>
        </is>
      </c>
      <c r="D10" s="275" t="inlineStr">
        <is>
          <t>Per Vance, kept the numbers estimates were using (0.25 / 0.75 / 1.25 / 0.10 per LF / 0.20). They now live in Table F and FIXTURE ESTIMATE links to it.</t>
        </is>
      </c>
    </row>
    <row r="11" ht="62" customHeight="1" s="250">
      <c r="A11" s="275" t="n">
        <v>7</v>
      </c>
      <c r="B11" s="275" t="inlineStr">
        <is>
          <t>SUMMARY B33 and B29</t>
        </is>
      </c>
      <c r="C11" s="275" t="inlineStr">
        <is>
          <t>The labor-cost subtotal skipped Plumbing Demolition, and sleeve labor cost only counted coordination hours (not install hours).</t>
        </is>
      </c>
      <c r="D11" s="275" t="inlineStr">
        <is>
          <t>B33 sums every line; sleeve labor cost = (install + coordination hrs) × blended rate, matching the hours line.</t>
        </is>
      </c>
    </row>
    <row r="12" ht="62" customHeight="1" s="250">
      <c r="A12" s="275" t="n">
        <v>8</v>
      </c>
      <c r="B12" s="275" t="inlineStr">
        <is>
          <t>SETTINGS B32</t>
        </is>
      </c>
      <c r="C12" s="275" t="inlineStr">
        <is>
          <t>Crew-days for mobilization left out CMU drop and sleeve hours (and now recirc), though the note says "total labor hrs ÷ 8".</t>
        </is>
      </c>
      <c r="D12" s="275" t="inlineStr">
        <is>
          <t>Now CEILING(SUMMARY!B18/8, 1): total labor hours ÷ 8, rounded up.</t>
        </is>
      </c>
    </row>
    <row r="13" ht="62" customHeight="1" s="250">
      <c r="A13" s="275" t="n">
        <v>9</v>
      </c>
      <c r="B13" s="275" t="inlineStr">
        <is>
          <t>INPUT B15</t>
        </is>
      </c>
      <c r="C13" s="275" t="inlineStr">
        <is>
          <t>The Building Type dropdown was attached to the section header (B14).</t>
        </is>
      </c>
      <c r="D13" s="275" t="inlineStr">
        <is>
          <t>Dropdown moved to B15; other entries are still allowed.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2026-02-28T18:39:36Z</dcterms:created>
  <dcterms:modified xsi:type="dcterms:W3CDTF">2026-09-29T12:46:53Z</dcterms:modified>
  <cp:lastModifiedBy>Vance McClenton</cp:lastModifiedBy>
  <cp:revision>0</cp:revision>
</cp:coreProperties>
</file>