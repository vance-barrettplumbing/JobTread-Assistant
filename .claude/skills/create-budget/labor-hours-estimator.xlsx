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or Estim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<sst xmlns="http://schemas.openxmlformats.org/spreadsheetml/2006/main" count="108" uniqueCount="87">
  <si>
    <t xml:space="preserve">Barrett Plumbing - Labor Hours Estimator</t>
  </si>
  <si>
    <t xml:space="preserve">Enter fixture counts in BLUE cells. Formulas calculate totals automatically.</t>
  </si>
  <si>
    <t xml:space="preserve">Job Name / Address:</t>
  </si>
  <si>
    <t xml:space="preserve">UNDERGROUND PLUMBING</t>
  </si>
  <si>
    <t xml:space="preserve">Item</t>
  </si>
  <si>
    <t xml:space="preserve">Count</t>
  </si>
  <si>
    <t xml:space="preserve">Hrs/Each</t>
  </si>
  <si>
    <t xml:space="preserve">Total Hrs</t>
  </si>
  <si>
    <t xml:space="preserve">Phase Total</t>
  </si>
  <si>
    <t xml:space="preserve">Notes</t>
  </si>
  <si>
    <t xml:space="preserve">Base Underground Hours</t>
  </si>
  <si>
    <t xml:space="preserve">Minimum hours for any underground job (main line, water service, etc.)</t>
  </si>
  <si>
    <t xml:space="preserve">Toilet (drain rough-in)</t>
  </si>
  <si>
    <t xml:space="preserve">Per toilet drain run from main</t>
  </si>
  <si>
    <t xml:space="preserve">Shower/Tub (drain rough-in)</t>
  </si>
  <si>
    <t xml:space="preserve">Per shower or tub drain</t>
  </si>
  <si>
    <t xml:space="preserve">Sink/Lavatory (drain rough-in)</t>
  </si>
  <si>
    <t xml:space="preserve">Per sink drain run</t>
  </si>
  <si>
    <t xml:space="preserve">Kitchen (drain + vent rough-in)</t>
  </si>
  <si>
    <t xml:space="preserve">Kitchen drain, dishwasher, disposal</t>
  </si>
  <si>
    <t xml:space="preserve">Laundry (drain rough-in)</t>
  </si>
  <si>
    <t xml:space="preserve">Washer drain and vent</t>
  </si>
  <si>
    <t xml:space="preserve">Floor Drain / Crock</t>
  </si>
  <si>
    <t xml:space="preserve">Sump or sewage crock</t>
  </si>
  <si>
    <t xml:space="preserve">Backwater Valve</t>
  </si>
  <si>
    <t xml:space="preserve">Per backwater valve installed</t>
  </si>
  <si>
    <t xml:space="preserve">Water Service Entry</t>
  </si>
  <si>
    <t xml:space="preserve">Main water line into building</t>
  </si>
  <si>
    <t xml:space="preserve">Underground Labor Hours</t>
  </si>
  <si>
    <t xml:space="preserve">Days (2 people, 8 hrs/day)</t>
  </si>
  <si>
    <t xml:space="preserve">Rounded up to whole days</t>
  </si>
  <si>
    <t xml:space="preserve">Mobilization Hours (1 hr/person/day)</t>
  </si>
  <si>
    <t xml:space="preserve">2 people x days = mobilization hours</t>
  </si>
  <si>
    <t xml:space="preserve">ROUGH-IN PLUMBING</t>
  </si>
  <si>
    <t xml:space="preserve">Base Rough-In Hours</t>
  </si>
  <si>
    <t xml:space="preserve">Main stack, venting, water distribution trunk lines</t>
  </si>
  <si>
    <t xml:space="preserve">Toilet (supply + vent rough-in)</t>
  </si>
  <si>
    <t xml:space="preserve">PEX supply, vent tie-in per toilet</t>
  </si>
  <si>
    <t xml:space="preserve">Shower (supply rough-in)</t>
  </si>
  <si>
    <t xml:space="preserve">Hot/cold PEX, valve, shower arm stub</t>
  </si>
  <si>
    <t xml:space="preserve">Tub/Shower (supply rough-in)</t>
  </si>
  <si>
    <t xml:space="preserve">Hot/cold PEX, valve, tub spout + shower stub</t>
  </si>
  <si>
    <t xml:space="preserve">Sink/Lavatory (supply rough-in)</t>
  </si>
  <si>
    <t xml:space="preserve">Hot/cold PEX supply per sink</t>
  </si>
  <si>
    <t xml:space="preserve">Kitchen (supply rough-in)</t>
  </si>
  <si>
    <t xml:space="preserve">Hot/cold, dishwasher supply, disposal rough</t>
  </si>
  <si>
    <t xml:space="preserve">Laundry Box</t>
  </si>
  <si>
    <t xml:space="preserve">Washing machine box with hammer arrestors</t>
  </si>
  <si>
    <t xml:space="preserve">Ice Maker Box</t>
  </si>
  <si>
    <t xml:space="preserve">Ice maker outlet box</t>
  </si>
  <si>
    <t xml:space="preserve">Outside Faucet</t>
  </si>
  <si>
    <t xml:space="preserve">Frost-free wall faucet per location</t>
  </si>
  <si>
    <t xml:space="preserve">Water Heater (supply rough-in)</t>
  </si>
  <si>
    <t xml:space="preserve">Copper/ProPress to and from WH location</t>
  </si>
  <si>
    <t xml:space="preserve">Rough-In Labor Hours</t>
  </si>
  <si>
    <t xml:space="preserve">FINISH PLUMBING</t>
  </si>
  <si>
    <t xml:space="preserve">Base Finish Hours</t>
  </si>
  <si>
    <t xml:space="preserve">General setup, testing, pressure test, inspection prep</t>
  </si>
  <si>
    <t xml:space="preserve">Toilet (set &amp; connect)</t>
  </si>
  <si>
    <t xml:space="preserve">Set toilet, wax ring, supply, caulk</t>
  </si>
  <si>
    <t xml:space="preserve">Shower (trim &amp; connect)</t>
  </si>
  <si>
    <t xml:space="preserve">Install shower unit, trim, drain, test</t>
  </si>
  <si>
    <t xml:space="preserve">Tub/Shower (trim &amp; connect)</t>
  </si>
  <si>
    <t xml:space="preserve">Install tub/shower, trim, waste &amp; overflow, test</t>
  </si>
  <si>
    <t xml:space="preserve">Sink/Lavatory (set &amp; connect)</t>
  </si>
  <si>
    <t xml:space="preserve">Mount sink, faucet, supply lines, P-trap, drain</t>
  </si>
  <si>
    <t xml:space="preserve">Kitchen Sink (set &amp; connect)</t>
  </si>
  <si>
    <t xml:space="preserve">Mount sink, faucet, disposal, supplies, drain</t>
  </si>
  <si>
    <t xml:space="preserve">Garbage Disposal (install)</t>
  </si>
  <si>
    <t xml:space="preserve">Connect disposal to sink drain</t>
  </si>
  <si>
    <t xml:space="preserve">Water Heater (install &amp; connect)</t>
  </si>
  <si>
    <t xml:space="preserve">Set WH, connect gas/elec, piping, pan, T&amp;P tube</t>
  </si>
  <si>
    <t xml:space="preserve">Outside Faucet (finish)</t>
  </si>
  <si>
    <t xml:space="preserve">Install handle, trim, test</t>
  </si>
  <si>
    <t xml:space="preserve">Washing Machine Box (connect)</t>
  </si>
  <si>
    <t xml:space="preserve">Connect supplies and test</t>
  </si>
  <si>
    <t xml:space="preserve">Ice Maker Box (connect)</t>
  </si>
  <si>
    <t xml:space="preserve">Connect supply and test</t>
  </si>
  <si>
    <t xml:space="preserve">Finish Labor Hours</t>
  </si>
  <si>
    <t xml:space="preserve">JOB SUMMARY</t>
  </si>
  <si>
    <t xml:space="preserve">Phase</t>
  </si>
  <si>
    <t xml:space="preserve">Labor Hrs</t>
  </si>
  <si>
    <t xml:space="preserve">Mob Hrs</t>
  </si>
  <si>
    <t xml:space="preserve">Underground</t>
  </si>
  <si>
    <t xml:space="preserve">Rough-In</t>
  </si>
  <si>
    <t xml:space="preserve">Finish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</si>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</sst>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496"/>
        <bgColor rgb="FF4472C4"/>
      </patternFill>
    </fill>
    <fill>
      <patternFill patternType="solid">
        <fgColor rgb="FF4472C4"/>
        <bgColor rgb="FF2F5496"/>
      </patternFill>
    </fill>
    <fill>
      <patternFill patternType="solid">
        <fgColor rgb="FFD6E4F0"/>
        <bgColor rgb="FFD9E2F3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E2EFDA"/>
      </patternFill>
    </fill>
    <fill>
      <patternFill patternType="solid">
        <fgColor rgb="FFD9E2F3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6E4F0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/>
      <c r="C4" s="4"/>
    </row>
    <row r="6" customFormat="false" ht="15" hidden="false" customHeight="false" outlineLevel="0" collapsed="false">
      <c r="A6" s="5" t="s">
        <v>3</v>
      </c>
      <c r="B6" s="5"/>
      <c r="C6" s="5"/>
      <c r="D6" s="5"/>
      <c r="E6" s="5"/>
      <c r="F6" s="5"/>
    </row>
    <row r="7" customFormat="false" ht="15" hidden="false" customHeight="fals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</row>
    <row r="8" customFormat="false" ht="15" hidden="false" customHeight="false" outlineLevel="0" collapsed="false">
      <c r="A8" s="7" t="s">
        <v>10</v>
      </c>
      <c r="B8" s="7"/>
      <c r="C8" s="8" t="n">
        <v>16</v>
      </c>
      <c r="D8" s="9" t="n">
        <f aca="false">C8</f>
        <v>16</v>
      </c>
      <c r="E8" s="7"/>
      <c r="F8" s="7" t="s">
        <v>11</v>
      </c>
    </row>
    <row r="9" customFormat="false" ht="15" hidden="false" customHeight="false" outlineLevel="0" collapsed="false">
      <c r="A9" s="10" t="s">
        <v>12</v>
      </c>
      <c r="B9" s="8" t="n">
        <v>3</v>
      </c>
      <c r="C9" s="8" t="n">
        <v>1.5</v>
      </c>
      <c r="D9" s="11" t="n">
        <f aca="false">B9*C9</f>
        <v>4.5</v>
      </c>
      <c r="E9" s="10"/>
      <c r="F9" s="10" t="s">
        <v>13</v>
      </c>
    </row>
    <row r="10" customFormat="false" ht="15" hidden="false" customHeight="false" outlineLevel="0" collapsed="false">
      <c r="A10" s="10" t="s">
        <v>14</v>
      </c>
      <c r="B10" s="8" t="n">
        <v>2</v>
      </c>
      <c r="C10" s="8" t="n">
        <v>2</v>
      </c>
      <c r="D10" s="11" t="n">
        <f aca="false">B10*C10</f>
        <v>4</v>
      </c>
      <c r="E10" s="10"/>
      <c r="F10" s="10" t="s">
        <v>15</v>
      </c>
    </row>
    <row r="11" customFormat="false" ht="15" hidden="false" customHeight="false" outlineLevel="0" collapsed="false">
      <c r="A11" s="10" t="s">
        <v>16</v>
      </c>
      <c r="B11" s="8" t="n">
        <v>4</v>
      </c>
      <c r="C11" s="8" t="n">
        <v>1</v>
      </c>
      <c r="D11" s="11" t="n">
        <f aca="false">B11*C11</f>
        <v>4</v>
      </c>
      <c r="E11" s="10"/>
      <c r="F11" s="10" t="s">
        <v>17</v>
      </c>
    </row>
    <row r="12" customFormat="false" ht="15" hidden="false" customHeight="false" outlineLevel="0" collapsed="false">
      <c r="A12" s="10" t="s">
        <v>18</v>
      </c>
      <c r="B12" s="8" t="n">
        <v>1</v>
      </c>
      <c r="C12" s="8" t="n">
        <v>2.5</v>
      </c>
      <c r="D12" s="11" t="n">
        <f aca="false">B12*C12</f>
        <v>2.5</v>
      </c>
      <c r="E12" s="10"/>
      <c r="F12" s="10" t="s">
        <v>19</v>
      </c>
    </row>
    <row r="13" customFormat="false" ht="15" hidden="false" customHeight="false" outlineLevel="0" collapsed="false">
      <c r="A13" s="10" t="s">
        <v>20</v>
      </c>
      <c r="B13" s="8" t="n">
        <v>1</v>
      </c>
      <c r="C13" s="8" t="n">
        <v>1.5</v>
      </c>
      <c r="D13" s="11" t="n">
        <f aca="false">B13*C13</f>
        <v>1.5</v>
      </c>
      <c r="E13" s="10"/>
      <c r="F13" s="10" t="s">
        <v>21</v>
      </c>
    </row>
    <row r="14" customFormat="false" ht="15" hidden="false" customHeight="false" outlineLevel="0" collapsed="false">
      <c r="A14" s="10" t="s">
        <v>22</v>
      </c>
      <c r="B14" s="8" t="n">
        <v>1</v>
      </c>
      <c r="C14" s="8" t="n">
        <v>2</v>
      </c>
      <c r="D14" s="11" t="n">
        <f aca="false">B14*C14</f>
        <v>2</v>
      </c>
      <c r="E14" s="10"/>
      <c r="F14" s="10" t="s">
        <v>23</v>
      </c>
    </row>
    <row r="15" customFormat="false" ht="15" hidden="false" customHeight="false" outlineLevel="0" collapsed="false">
      <c r="A15" s="10" t="s">
        <v>24</v>
      </c>
      <c r="B15" s="8" t="n">
        <v>1</v>
      </c>
      <c r="C15" s="8" t="n">
        <v>1</v>
      </c>
      <c r="D15" s="11" t="n">
        <f aca="false">B15*C15</f>
        <v>1</v>
      </c>
      <c r="E15" s="10"/>
      <c r="F15" s="10" t="s">
        <v>25</v>
      </c>
    </row>
    <row r="16" customFormat="false" ht="15" hidden="false" customHeight="false" outlineLevel="0" collapsed="false">
      <c r="A16" s="10" t="s">
        <v>26</v>
      </c>
      <c r="B16" s="8" t="n">
        <v>1</v>
      </c>
      <c r="C16" s="8" t="n">
        <v>3</v>
      </c>
      <c r="D16" s="11" t="n">
        <f aca="false">B16*C16</f>
        <v>3</v>
      </c>
      <c r="E16" s="10"/>
      <c r="F16" s="10" t="s">
        <v>27</v>
      </c>
    </row>
    <row r="17" customFormat="false" ht="15" hidden="false" customHeight="false" outlineLevel="0" collapsed="false">
      <c r="A17" s="7" t="s">
        <v>28</v>
      </c>
      <c r="B17" s="7"/>
      <c r="C17" s="7"/>
      <c r="D17" s="12" t="n">
        <f aca="false">SUM(D8:D16)</f>
        <v>38.5</v>
      </c>
      <c r="E17" s="12" t="n">
        <f aca="false">D17</f>
        <v>38.5</v>
      </c>
      <c r="F17" s="7"/>
    </row>
    <row r="18" customFormat="false" ht="15" hidden="false" customHeight="false" outlineLevel="0" collapsed="false">
      <c r="A18" s="10" t="s">
        <v>29</v>
      </c>
      <c r="B18" s="10"/>
      <c r="C18" s="10"/>
      <c r="D18" s="11" t="n">
        <f aca="false">ROUNDUP(D17/(2*8),0)</f>
        <v>3</v>
      </c>
      <c r="E18" s="10"/>
      <c r="F18" s="10" t="s">
        <v>30</v>
      </c>
    </row>
    <row r="19" customFormat="false" ht="15" hidden="false" customHeight="false" outlineLevel="0" collapsed="false">
      <c r="A19" s="10" t="s">
        <v>31</v>
      </c>
      <c r="B19" s="10"/>
      <c r="C19" s="10"/>
      <c r="D19" s="11" t="n">
        <f aca="false">D18*2</f>
        <v>6</v>
      </c>
      <c r="E19" s="13" t="n">
        <f aca="false">D19</f>
        <v>6</v>
      </c>
      <c r="F19" s="10" t="s">
        <v>32</v>
      </c>
    </row>
    <row r="21" customFormat="false" ht="15" hidden="false" customHeight="false" outlineLevel="0" collapsed="false">
      <c r="A21" s="5" t="s">
        <v>33</v>
      </c>
      <c r="B21" s="5"/>
      <c r="C21" s="5"/>
      <c r="D21" s="5"/>
      <c r="E21" s="5"/>
      <c r="F21" s="5"/>
    </row>
    <row r="22" customFormat="false" ht="15" hidden="false" customHeight="false" outlineLevel="0" collapsed="false">
      <c r="A22" s="6" t="s">
        <v>4</v>
      </c>
      <c r="B22" s="6" t="s">
        <v>5</v>
      </c>
      <c r="C22" s="6" t="s">
        <v>6</v>
      </c>
      <c r="D22" s="6" t="s">
        <v>7</v>
      </c>
      <c r="E22" s="6" t="s">
        <v>8</v>
      </c>
      <c r="F22" s="6" t="s">
        <v>9</v>
      </c>
    </row>
    <row r="23" customFormat="false" ht="15" hidden="false" customHeight="false" outlineLevel="0" collapsed="false">
      <c r="A23" s="14" t="s">
        <v>34</v>
      </c>
      <c r="B23" s="14"/>
      <c r="C23" s="8" t="n">
        <v>12</v>
      </c>
      <c r="D23" s="15" t="n">
        <f aca="false">C23</f>
        <v>12</v>
      </c>
      <c r="E23" s="14"/>
      <c r="F23" s="14" t="s">
        <v>35</v>
      </c>
    </row>
    <row r="24" customFormat="false" ht="15" hidden="false" customHeight="false" outlineLevel="0" collapsed="false">
      <c r="A24" s="10" t="s">
        <v>36</v>
      </c>
      <c r="B24" s="8" t="n">
        <v>3</v>
      </c>
      <c r="C24" s="8" t="n">
        <v>1.5</v>
      </c>
      <c r="D24" s="11" t="n">
        <f aca="false">B24*C24</f>
        <v>4.5</v>
      </c>
      <c r="E24" s="10"/>
      <c r="F24" s="10" t="s">
        <v>37</v>
      </c>
    </row>
    <row r="25" customFormat="false" ht="15" hidden="false" customHeight="false" outlineLevel="0" collapsed="false">
      <c r="A25" s="10" t="s">
        <v>38</v>
      </c>
      <c r="B25" s="8" t="n">
        <v>1</v>
      </c>
      <c r="C25" s="8" t="n">
        <v>3</v>
      </c>
      <c r="D25" s="11" t="n">
        <f aca="false">B25*C25</f>
        <v>3</v>
      </c>
      <c r="E25" s="10"/>
      <c r="F25" s="10" t="s">
        <v>39</v>
      </c>
    </row>
    <row r="26" customFormat="false" ht="15" hidden="false" customHeight="false" outlineLevel="0" collapsed="false">
      <c r="A26" s="10" t="s">
        <v>40</v>
      </c>
      <c r="B26" s="8" t="n">
        <v>1</v>
      </c>
      <c r="C26" s="8" t="n">
        <v>3.5</v>
      </c>
      <c r="D26" s="11" t="n">
        <f aca="false">B26*C26</f>
        <v>3.5</v>
      </c>
      <c r="E26" s="10"/>
      <c r="F26" s="10" t="s">
        <v>41</v>
      </c>
    </row>
    <row r="27" customFormat="false" ht="15" hidden="false" customHeight="false" outlineLevel="0" collapsed="false">
      <c r="A27" s="10" t="s">
        <v>42</v>
      </c>
      <c r="B27" s="8" t="n">
        <v>4</v>
      </c>
      <c r="C27" s="8" t="n">
        <v>1.5</v>
      </c>
      <c r="D27" s="11" t="n">
        <f aca="false">B27*C27</f>
        <v>6</v>
      </c>
      <c r="E27" s="10"/>
      <c r="F27" s="10" t="s">
        <v>43</v>
      </c>
    </row>
    <row r="28" customFormat="false" ht="15" hidden="false" customHeight="false" outlineLevel="0" collapsed="false">
      <c r="A28" s="10" t="s">
        <v>44</v>
      </c>
      <c r="B28" s="8" t="n">
        <v>1</v>
      </c>
      <c r="C28" s="8" t="n">
        <v>2</v>
      </c>
      <c r="D28" s="11" t="n">
        <f aca="false">B28*C28</f>
        <v>2</v>
      </c>
      <c r="E28" s="10"/>
      <c r="F28" s="10" t="s">
        <v>45</v>
      </c>
    </row>
    <row r="29" customFormat="false" ht="15" hidden="false" customHeight="false" outlineLevel="0" collapsed="false">
      <c r="A29" s="10" t="s">
        <v>46</v>
      </c>
      <c r="B29" s="8" t="n">
        <v>1</v>
      </c>
      <c r="C29" s="8" t="n">
        <v>1.5</v>
      </c>
      <c r="D29" s="11" t="n">
        <f aca="false">B29*C29</f>
        <v>1.5</v>
      </c>
      <c r="E29" s="10"/>
      <c r="F29" s="10" t="s">
        <v>47</v>
      </c>
    </row>
    <row r="30" customFormat="false" ht="15" hidden="false" customHeight="false" outlineLevel="0" collapsed="false">
      <c r="A30" s="10" t="s">
        <v>48</v>
      </c>
      <c r="B30" s="8" t="n">
        <v>1</v>
      </c>
      <c r="C30" s="8" t="n">
        <v>0.5</v>
      </c>
      <c r="D30" s="11" t="n">
        <f aca="false">B30*C30</f>
        <v>0.5</v>
      </c>
      <c r="E30" s="10"/>
      <c r="F30" s="10" t="s">
        <v>49</v>
      </c>
    </row>
    <row r="31" customFormat="false" ht="15" hidden="false" customHeight="false" outlineLevel="0" collapsed="false">
      <c r="A31" s="10" t="s">
        <v>50</v>
      </c>
      <c r="B31" s="8" t="n">
        <v>2</v>
      </c>
      <c r="C31" s="8" t="n">
        <v>1.5</v>
      </c>
      <c r="D31" s="11" t="n">
        <f aca="false">B31*C31</f>
        <v>3</v>
      </c>
      <c r="E31" s="10"/>
      <c r="F31" s="10" t="s">
        <v>51</v>
      </c>
    </row>
    <row r="32" customFormat="false" ht="15" hidden="false" customHeight="false" outlineLevel="0" collapsed="false">
      <c r="A32" s="10" t="s">
        <v>52</v>
      </c>
      <c r="B32" s="8" t="n">
        <v>1</v>
      </c>
      <c r="C32" s="8" t="n">
        <v>2</v>
      </c>
      <c r="D32" s="11" t="n">
        <f aca="false">B32*C32</f>
        <v>2</v>
      </c>
      <c r="E32" s="10"/>
      <c r="F32" s="10" t="s">
        <v>53</v>
      </c>
    </row>
    <row r="33" customFormat="false" ht="15" hidden="false" customHeight="false" outlineLevel="0" collapsed="false">
      <c r="A33" s="14" t="s">
        <v>54</v>
      </c>
      <c r="B33" s="14"/>
      <c r="C33" s="14"/>
      <c r="D33" s="16" t="n">
        <f aca="false">SUM(D23:D32)</f>
        <v>38</v>
      </c>
      <c r="E33" s="16" t="n">
        <f aca="false">D33</f>
        <v>38</v>
      </c>
      <c r="F33" s="14"/>
    </row>
    <row r="34" customFormat="false" ht="15" hidden="false" customHeight="false" outlineLevel="0" collapsed="false">
      <c r="A34" s="10" t="s">
        <v>29</v>
      </c>
      <c r="B34" s="10"/>
      <c r="C34" s="10"/>
      <c r="D34" s="11" t="n">
        <f aca="false">ROUNDUP(D33/(2*8),0)</f>
        <v>3</v>
      </c>
      <c r="E34" s="10"/>
      <c r="F34" s="10" t="s">
        <v>30</v>
      </c>
    </row>
    <row r="35" customFormat="false" ht="15" hidden="false" customHeight="false" outlineLevel="0" collapsed="false">
      <c r="A35" s="10" t="s">
        <v>31</v>
      </c>
      <c r="B35" s="10"/>
      <c r="C35" s="10"/>
      <c r="D35" s="11" t="n">
        <f aca="false">D34*2</f>
        <v>6</v>
      </c>
      <c r="E35" s="13" t="n">
        <f aca="false">D35</f>
        <v>6</v>
      </c>
      <c r="F35" s="10" t="s">
        <v>32</v>
      </c>
    </row>
    <row r="37" customFormat="false" ht="15" hidden="false" customHeight="false" outlineLevel="0" collapsed="false">
      <c r="A37" s="5" t="s">
        <v>55</v>
      </c>
      <c r="B37" s="5"/>
      <c r="C37" s="5"/>
      <c r="D37" s="5"/>
      <c r="E37" s="5"/>
      <c r="F37" s="5"/>
    </row>
    <row r="38" customFormat="false" ht="15" hidden="false" customHeight="false" outlineLevel="0" collapsed="false">
      <c r="A38" s="6" t="s">
        <v>4</v>
      </c>
      <c r="B38" s="6" t="s">
        <v>5</v>
      </c>
      <c r="C38" s="6" t="s">
        <v>6</v>
      </c>
      <c r="D38" s="6" t="s">
        <v>7</v>
      </c>
      <c r="E38" s="6" t="s">
        <v>8</v>
      </c>
      <c r="F38" s="6" t="s">
        <v>9</v>
      </c>
    </row>
    <row r="39" customFormat="false" ht="15" hidden="false" customHeight="false" outlineLevel="0" collapsed="false">
      <c r="A39" s="17" t="s">
        <v>56</v>
      </c>
      <c r="B39" s="17"/>
      <c r="C39" s="8" t="n">
        <v>8</v>
      </c>
      <c r="D39" s="18" t="n">
        <f aca="false">C39</f>
        <v>8</v>
      </c>
      <c r="E39" s="17"/>
      <c r="F39" s="17" t="s">
        <v>57</v>
      </c>
    </row>
    <row r="40" customFormat="false" ht="15" hidden="false" customHeight="false" outlineLevel="0" collapsed="false">
      <c r="A40" s="10" t="s">
        <v>58</v>
      </c>
      <c r="B40" s="8" t="n">
        <v>3</v>
      </c>
      <c r="C40" s="8" t="n">
        <v>1.5</v>
      </c>
      <c r="D40" s="11" t="n">
        <f aca="false">B40*C40</f>
        <v>4.5</v>
      </c>
      <c r="E40" s="10"/>
      <c r="F40" s="10" t="s">
        <v>59</v>
      </c>
    </row>
    <row r="41" customFormat="false" ht="15" hidden="false" customHeight="false" outlineLevel="0" collapsed="false">
      <c r="A41" s="10" t="s">
        <v>60</v>
      </c>
      <c r="B41" s="8" t="n">
        <v>1</v>
      </c>
      <c r="C41" s="8" t="n">
        <v>2.5</v>
      </c>
      <c r="D41" s="11" t="n">
        <f aca="false">B41*C41</f>
        <v>2.5</v>
      </c>
      <c r="E41" s="10"/>
      <c r="F41" s="10" t="s">
        <v>61</v>
      </c>
    </row>
    <row r="42" customFormat="false" ht="15" hidden="false" customHeight="false" outlineLevel="0" collapsed="false">
      <c r="A42" s="10" t="s">
        <v>62</v>
      </c>
      <c r="B42" s="8" t="n">
        <v>1</v>
      </c>
      <c r="C42" s="8" t="n">
        <v>3</v>
      </c>
      <c r="D42" s="11" t="n">
        <f aca="false">B42*C42</f>
        <v>3</v>
      </c>
      <c r="E42" s="10"/>
      <c r="F42" s="10" t="s">
        <v>63</v>
      </c>
    </row>
    <row r="43" customFormat="false" ht="15" hidden="false" customHeight="false" outlineLevel="0" collapsed="false">
      <c r="A43" s="10" t="s">
        <v>64</v>
      </c>
      <c r="B43" s="8" t="n">
        <v>4</v>
      </c>
      <c r="C43" s="8" t="n">
        <v>1.5</v>
      </c>
      <c r="D43" s="11" t="n">
        <f aca="false">B43*C43</f>
        <v>6</v>
      </c>
      <c r="E43" s="10"/>
      <c r="F43" s="10" t="s">
        <v>65</v>
      </c>
    </row>
    <row r="44" customFormat="false" ht="15" hidden="false" customHeight="false" outlineLevel="0" collapsed="false">
      <c r="A44" s="10" t="s">
        <v>66</v>
      </c>
      <c r="B44" s="8" t="n">
        <v>1</v>
      </c>
      <c r="C44" s="8" t="n">
        <v>2.5</v>
      </c>
      <c r="D44" s="11" t="n">
        <f aca="false">B44*C44</f>
        <v>2.5</v>
      </c>
      <c r="E44" s="10"/>
      <c r="F44" s="10" t="s">
        <v>67</v>
      </c>
    </row>
    <row r="45" customFormat="false" ht="15" hidden="false" customHeight="false" outlineLevel="0" collapsed="false">
      <c r="A45" s="10" t="s">
        <v>68</v>
      </c>
      <c r="B45" s="8" t="n">
        <v>1</v>
      </c>
      <c r="C45" s="8" t="n">
        <v>0.5</v>
      </c>
      <c r="D45" s="11" t="n">
        <f aca="false">B45*C45</f>
        <v>0.5</v>
      </c>
      <c r="E45" s="10"/>
      <c r="F45" s="10" t="s">
        <v>69</v>
      </c>
    </row>
    <row r="46" customFormat="false" ht="15" hidden="false" customHeight="false" outlineLevel="0" collapsed="false">
      <c r="A46" s="10" t="s">
        <v>70</v>
      </c>
      <c r="B46" s="8" t="n">
        <v>1</v>
      </c>
      <c r="C46" s="8" t="n">
        <v>4</v>
      </c>
      <c r="D46" s="11" t="n">
        <f aca="false">B46*C46</f>
        <v>4</v>
      </c>
      <c r="E46" s="10"/>
      <c r="F46" s="10" t="s">
        <v>71</v>
      </c>
    </row>
    <row r="47" customFormat="false" ht="15" hidden="false" customHeight="false" outlineLevel="0" collapsed="false">
      <c r="A47" s="10" t="s">
        <v>72</v>
      </c>
      <c r="B47" s="8" t="n">
        <v>2</v>
      </c>
      <c r="C47" s="8" t="n">
        <v>0.5</v>
      </c>
      <c r="D47" s="11" t="n">
        <f aca="false">B47*C47</f>
        <v>1</v>
      </c>
      <c r="E47" s="10"/>
      <c r="F47" s="10" t="s">
        <v>73</v>
      </c>
    </row>
    <row r="48" customFormat="false" ht="15" hidden="false" customHeight="false" outlineLevel="0" collapsed="false">
      <c r="A48" s="10" t="s">
        <v>74</v>
      </c>
      <c r="B48" s="8" t="n">
        <v>1</v>
      </c>
      <c r="C48" s="8" t="n">
        <v>0.5</v>
      </c>
      <c r="D48" s="11" t="n">
        <f aca="false">B48*C48</f>
        <v>0.5</v>
      </c>
      <c r="E48" s="10"/>
      <c r="F48" s="10" t="s">
        <v>75</v>
      </c>
    </row>
    <row r="49" customFormat="false" ht="15" hidden="false" customHeight="false" outlineLevel="0" collapsed="false">
      <c r="A49" s="10" t="s">
        <v>76</v>
      </c>
      <c r="B49" s="8" t="n">
        <v>1</v>
      </c>
      <c r="C49" s="8" t="n">
        <v>0.25</v>
      </c>
      <c r="D49" s="11" t="n">
        <f aca="false">B49*C49</f>
        <v>0.25</v>
      </c>
      <c r="E49" s="10"/>
      <c r="F49" s="10" t="s">
        <v>77</v>
      </c>
    </row>
    <row r="50" customFormat="false" ht="15" hidden="false" customHeight="false" outlineLevel="0" collapsed="false">
      <c r="A50" s="17" t="s">
        <v>78</v>
      </c>
      <c r="B50" s="17"/>
      <c r="C50" s="17"/>
      <c r="D50" s="19" t="n">
        <f aca="false">SUM(D39:D49)</f>
        <v>32.75</v>
      </c>
      <c r="E50" s="19" t="n">
        <f aca="false">D50</f>
        <v>32.75</v>
      </c>
      <c r="F50" s="17"/>
    </row>
    <row r="51" customFormat="false" ht="15" hidden="false" customHeight="false" outlineLevel="0" collapsed="false">
      <c r="A51" s="10" t="s">
        <v>29</v>
      </c>
      <c r="B51" s="10"/>
      <c r="C51" s="10"/>
      <c r="D51" s="11" t="n">
        <f aca="false">ROUNDUP(D50/(2*8),0)</f>
        <v>3</v>
      </c>
      <c r="E51" s="10"/>
      <c r="F51" s="10" t="s">
        <v>30</v>
      </c>
    </row>
    <row r="52" customFormat="false" ht="15" hidden="false" customHeight="false" outlineLevel="0" collapsed="false">
      <c r="A52" s="10" t="s">
        <v>31</v>
      </c>
      <c r="B52" s="10"/>
      <c r="C52" s="10"/>
      <c r="D52" s="11" t="n">
        <f aca="false">D51*2</f>
        <v>6</v>
      </c>
      <c r="E52" s="13" t="n">
        <f aca="false">D52</f>
        <v>6</v>
      </c>
      <c r="F52" s="10" t="s">
        <v>32</v>
      </c>
    </row>
    <row r="54" customFormat="false" ht="15" hidden="false" customHeight="false" outlineLevel="0" collapsed="false">
      <c r="A54" s="5" t="s">
        <v>79</v>
      </c>
      <c r="B54" s="5"/>
      <c r="C54" s="5"/>
      <c r="D54" s="5"/>
      <c r="E54" s="5"/>
      <c r="F54" s="5"/>
    </row>
    <row r="55" customFormat="false" ht="15" hidden="false" customHeight="false" outlineLevel="0" collapsed="false">
      <c r="A55" s="6" t="s">
        <v>80</v>
      </c>
      <c r="B55" s="6"/>
      <c r="C55" s="6"/>
      <c r="D55" s="6" t="s">
        <v>81</v>
      </c>
      <c r="E55" s="6" t="s">
        <v>82</v>
      </c>
      <c r="F55" s="6" t="s">
        <v>7</v>
      </c>
    </row>
    <row r="56" customFormat="false" ht="15" hidden="false" customHeight="false" outlineLevel="0" collapsed="false">
      <c r="A56" s="10" t="s">
        <v>83</v>
      </c>
      <c r="B56" s="10"/>
      <c r="C56" s="10"/>
      <c r="D56" s="11" t="n">
        <f aca="false">D17</f>
        <v>38.5</v>
      </c>
      <c r="E56" s="11" t="n">
        <f aca="false">D19</f>
        <v>6</v>
      </c>
      <c r="F56" s="11" t="n">
        <f aca="false">D56+E56</f>
        <v>44.5</v>
      </c>
    </row>
    <row r="57" customFormat="false" ht="15" hidden="false" customHeight="false" outlineLevel="0" collapsed="false">
      <c r="A57" s="10" t="s">
        <v>84</v>
      </c>
      <c r="B57" s="10"/>
      <c r="C57" s="10"/>
      <c r="D57" s="11" t="n">
        <f aca="false">D33</f>
        <v>38</v>
      </c>
      <c r="E57" s="11" t="n">
        <f aca="false">D35</f>
        <v>6</v>
      </c>
      <c r="F57" s="11" t="n">
        <f aca="false">D57+E57</f>
        <v>44</v>
      </c>
    </row>
    <row r="58" customFormat="false" ht="15" hidden="false" customHeight="false" outlineLevel="0" collapsed="false">
      <c r="A58" s="10" t="s">
        <v>85</v>
      </c>
      <c r="B58" s="10"/>
      <c r="C58" s="10"/>
      <c r="D58" s="11" t="n">
        <f aca="false">D50</f>
        <v>32.75</v>
      </c>
      <c r="E58" s="11" t="n">
        <f aca="false">D52</f>
        <v>6</v>
      </c>
      <c r="F58" s="11" t="n">
        <f aca="false">D58+E58</f>
        <v>38.75</v>
      </c>
    </row>
    <row r="59" customFormat="false" ht="15" hidden="false" customHeight="false" outlineLevel="0" collapsed="false">
      <c r="A59" s="20" t="s">
        <v>86</v>
      </c>
      <c r="B59" s="20"/>
      <c r="C59" s="20"/>
      <c r="D59" s="21" t="n">
        <f aca="false">SUM(D56:D58)</f>
        <v>109.25</v>
      </c>
      <c r="E59" s="21" t="n">
        <f aca="false">SUM(E56:E58)</f>
        <v>18</v>
      </c>
      <c r="F59" s="21" t="n">
        <f aca="false">SUM(F56:F58)</f>
        <v>127.25</v>
      </c>
    </row>
  </sheetData>
  <mergeCells count="7">
    <mergeCell ref="A1:F1"/>
    <mergeCell ref="A2:F2"/>
    <mergeCell ref="B4:C4"/>
    <mergeCell ref="A6:F6"/>
    <mergeCell ref="A21:F21"/>
    <mergeCell ref="A37:F37"/>
    <mergeCell ref="A54:F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2026-04-01T15:02:51Z</dcterms:created>
  <dc:creator>openpyxl</dc:creator>
  <dc:description/>
  <dc:language>en-US</dc:language>
  <cp:lastModifiedBy/>
  <dcterms:modified xsi:type="dcterms:W3CDTF">2026-04-01T15:02:51Z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